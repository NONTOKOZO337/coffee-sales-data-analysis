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Nontokozo\Desktop\Nonto the Analyst\Coffee data analystics\"/>
    </mc:Choice>
  </mc:AlternateContent>
  <xr:revisionPtr revIDLastSave="0" documentId="13_ncr:1_{4F3D55AE-EFF1-43BF-A9B1-3E3CDEE232E6}" xr6:coauthVersionLast="47" xr6:coauthVersionMax="47" xr10:uidLastSave="{00000000-0000-0000-0000-000000000000}"/>
  <bookViews>
    <workbookView xWindow="-110" yWindow="-110" windowWidth="19420" windowHeight="10300" xr2:uid="{00000000-000D-0000-FFFF-FFFF00000000}"/>
  </bookViews>
  <sheets>
    <sheet name="Dashboard" sheetId="25" r:id="rId1"/>
    <sheet name="Total Sales" sheetId="18" r:id="rId2"/>
    <sheet name="Country bar chart" sheetId="19" r:id="rId3"/>
    <sheet name="Top 5 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7"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5" i="17"/>
  <c r="O36" i="17"/>
  <c r="O43" i="17"/>
  <c r="O45" i="17"/>
  <c r="O59" i="17"/>
  <c r="O60" i="17"/>
  <c r="O61" i="17"/>
  <c r="O71" i="17"/>
  <c r="O76" i="17"/>
  <c r="O77" i="17"/>
  <c r="O83" i="17"/>
  <c r="O103" i="17"/>
  <c r="O119" i="17"/>
  <c r="O122" i="17"/>
  <c r="O123" i="17"/>
  <c r="O129" i="17"/>
  <c r="O135" i="17"/>
  <c r="O139" i="17"/>
  <c r="O141" i="17"/>
  <c r="O144" i="17"/>
  <c r="O156" i="17"/>
  <c r="O165" i="17"/>
  <c r="O166" i="17"/>
  <c r="O167" i="17"/>
  <c r="O170" i="17"/>
  <c r="O171" i="17"/>
  <c r="O192" i="17"/>
  <c r="O201" i="17"/>
  <c r="O202" i="17"/>
  <c r="O203" i="17"/>
  <c r="O223" i="17"/>
  <c r="O229" i="17"/>
  <c r="O230" i="17"/>
  <c r="O240" i="17"/>
  <c r="O271" i="17"/>
  <c r="O273" i="17"/>
  <c r="O312" i="17"/>
  <c r="O319" i="17"/>
  <c r="O323" i="17"/>
  <c r="O324" i="17"/>
  <c r="O326" i="17"/>
  <c r="O327" i="17"/>
  <c r="O328" i="17"/>
  <c r="O360" i="17"/>
  <c r="O372" i="17"/>
  <c r="O384" i="17"/>
  <c r="O385" i="17"/>
  <c r="O387" i="17"/>
  <c r="O417" i="17"/>
  <c r="O418" i="17"/>
  <c r="O419" i="17"/>
  <c r="O427" i="17"/>
  <c r="O429" i="17"/>
  <c r="O430" i="17"/>
  <c r="O431" i="17"/>
  <c r="O437" i="17"/>
  <c r="O443" i="17"/>
  <c r="O444" i="17"/>
  <c r="O455" i="17"/>
  <c r="O463" i="17"/>
  <c r="O465" i="17"/>
  <c r="O466" i="17"/>
  <c r="O480" i="17"/>
  <c r="O481" i="17"/>
  <c r="O483" i="17"/>
  <c r="O495" i="17"/>
  <c r="O511" i="17"/>
  <c r="O515" i="17"/>
  <c r="O547" i="17"/>
  <c r="O549" i="17"/>
  <c r="O575" i="17"/>
  <c r="O576" i="17"/>
  <c r="O577" i="17"/>
  <c r="O589" i="17"/>
  <c r="O590" i="17"/>
  <c r="O624" i="17"/>
  <c r="O636" i="17"/>
  <c r="O648" i="17"/>
  <c r="O649" i="17"/>
  <c r="O672" i="17"/>
  <c r="O681" i="17"/>
  <c r="O711" i="17"/>
  <c r="O712" i="17"/>
  <c r="O727" i="17"/>
  <c r="O732" i="17"/>
  <c r="O744" i="17"/>
  <c r="O751" i="17"/>
  <c r="O758" i="17"/>
  <c r="O767" i="17"/>
  <c r="O768" i="17"/>
  <c r="O779" i="17"/>
  <c r="O789" i="17"/>
  <c r="O790" i="17"/>
  <c r="O804" i="17"/>
  <c r="O805" i="17"/>
  <c r="O835" i="17"/>
  <c r="O837" i="17"/>
  <c r="O838" i="17"/>
  <c r="O839" i="17"/>
  <c r="O851" i="17"/>
  <c r="O856" i="17"/>
  <c r="O863" i="17"/>
  <c r="O864" i="17"/>
  <c r="O883" i="17"/>
  <c r="O885" i="17"/>
  <c r="O888" i="17"/>
  <c r="O899" i="17"/>
  <c r="O901" i="17"/>
  <c r="O912" i="17"/>
  <c r="O919" i="17"/>
  <c r="O921" i="17"/>
  <c r="O924" i="17"/>
  <c r="O935" i="17"/>
  <c r="O946" i="17"/>
  <c r="O947" i="17"/>
  <c r="O948" i="17"/>
  <c r="O955" i="17"/>
  <c r="O987" i="17"/>
  <c r="O995" i="17"/>
  <c r="O996" i="17"/>
  <c r="N18" i="17"/>
  <c r="N20" i="17"/>
  <c r="N21" i="17"/>
  <c r="N22" i="17"/>
  <c r="N29" i="17"/>
  <c r="N37" i="17"/>
  <c r="N42" i="17"/>
  <c r="N49" i="17"/>
  <c r="N51" i="17"/>
  <c r="N53" i="17"/>
  <c r="N55" i="17"/>
  <c r="N56" i="17"/>
  <c r="N57" i="17"/>
  <c r="N75" i="17"/>
  <c r="N77" i="17"/>
  <c r="N78" i="17"/>
  <c r="N100" i="17"/>
  <c r="N103" i="17"/>
  <c r="N105" i="17"/>
  <c r="N111" i="17"/>
  <c r="N114" i="17"/>
  <c r="N122" i="17"/>
  <c r="N125" i="17"/>
  <c r="N133" i="17"/>
  <c r="N137" i="17"/>
  <c r="N138" i="17"/>
  <c r="N139" i="17"/>
  <c r="N149" i="17"/>
  <c r="N150" i="17"/>
  <c r="N161" i="17"/>
  <c r="N162" i="17"/>
  <c r="N170" i="17"/>
  <c r="N171" i="17"/>
  <c r="N172" i="17"/>
  <c r="N173" i="17"/>
  <c r="N174" i="17"/>
  <c r="N186" i="17"/>
  <c r="N193" i="17"/>
  <c r="N196" i="17"/>
  <c r="N197" i="17"/>
  <c r="N198" i="17"/>
  <c r="N206" i="17"/>
  <c r="N209" i="17"/>
  <c r="N211" i="17"/>
  <c r="N217" i="17"/>
  <c r="N229" i="17"/>
  <c r="N231" i="17"/>
  <c r="N232" i="17"/>
  <c r="N244" i="17"/>
  <c r="N253" i="17"/>
  <c r="N258" i="17"/>
  <c r="N265" i="17"/>
  <c r="N270" i="17"/>
  <c r="N280" i="17"/>
  <c r="N281" i="17"/>
  <c r="N282" i="17"/>
  <c r="N283" i="17"/>
  <c r="N289" i="17"/>
  <c r="N302" i="17"/>
  <c r="N303" i="17"/>
  <c r="N304" i="17"/>
  <c r="N305" i="17"/>
  <c r="N306" i="17"/>
  <c r="N307" i="17"/>
  <c r="N309" i="17"/>
  <c r="N318" i="17"/>
  <c r="N319" i="17"/>
  <c r="N329" i="17"/>
  <c r="N340" i="17"/>
  <c r="N342" i="17"/>
  <c r="N343" i="17"/>
  <c r="N344" i="17"/>
  <c r="N354" i="17"/>
  <c r="N355" i="17"/>
  <c r="N357" i="17"/>
  <c r="N366" i="17"/>
  <c r="N373" i="17"/>
  <c r="N385" i="17"/>
  <c r="N386" i="17"/>
  <c r="N392" i="17"/>
  <c r="N393" i="17"/>
  <c r="N397" i="17"/>
  <c r="N410" i="17"/>
  <c r="N411" i="17"/>
  <c r="N412" i="17"/>
  <c r="N413" i="17"/>
  <c r="N415" i="17"/>
  <c r="N421" i="17"/>
  <c r="N422" i="17"/>
  <c r="N437" i="17"/>
  <c r="N438" i="17"/>
  <c r="N449" i="17"/>
  <c r="N450" i="17"/>
  <c r="N457" i="17"/>
  <c r="N460" i="17"/>
  <c r="N470" i="17"/>
  <c r="N471" i="17"/>
  <c r="N472" i="17"/>
  <c r="N473" i="17"/>
  <c r="N481" i="17"/>
  <c r="N483" i="17"/>
  <c r="N484" i="17"/>
  <c r="N487" i="17"/>
  <c r="N488" i="17"/>
  <c r="N497" i="17"/>
  <c r="N498" i="17"/>
  <c r="N507" i="17"/>
  <c r="N517" i="17"/>
  <c r="N519" i="17"/>
  <c r="N522" i="17"/>
  <c r="N533" i="17"/>
  <c r="N541" i="17"/>
  <c r="N542" i="17"/>
  <c r="N545" i="17"/>
  <c r="N554" i="17"/>
  <c r="N557" i="17"/>
  <c r="N558" i="17"/>
  <c r="N565" i="17"/>
  <c r="N566" i="17"/>
  <c r="N569" i="17"/>
  <c r="N571" i="17"/>
  <c r="N580" i="17"/>
  <c r="N581" i="17"/>
  <c r="N582" i="17"/>
  <c r="N583" i="17"/>
  <c r="N593" i="17"/>
  <c r="N603" i="17"/>
  <c r="N605" i="17"/>
  <c r="N606" i="17"/>
  <c r="N614" i="17"/>
  <c r="N615" i="17"/>
  <c r="N616" i="17"/>
  <c r="N625" i="17"/>
  <c r="N637" i="17"/>
  <c r="N638" i="17"/>
  <c r="N640" i="17"/>
  <c r="N641" i="17"/>
  <c r="N642" i="17"/>
  <c r="N653" i="17"/>
  <c r="N654" i="17"/>
  <c r="N662" i="17"/>
  <c r="N663" i="17"/>
  <c r="N664" i="17"/>
  <c r="N673" i="17"/>
  <c r="N677" i="17"/>
  <c r="N686" i="17"/>
  <c r="N687" i="17"/>
  <c r="N697" i="17"/>
  <c r="N698" i="17"/>
  <c r="N699" i="17"/>
  <c r="N700" i="17"/>
  <c r="N705" i="17"/>
  <c r="N713" i="17"/>
  <c r="N714" i="17"/>
  <c r="N725" i="17"/>
  <c r="N726" i="17"/>
  <c r="N727" i="17"/>
  <c r="N728" i="17"/>
  <c r="N738" i="17"/>
  <c r="N745" i="17"/>
  <c r="N746" i="17"/>
  <c r="N747" i="17"/>
  <c r="N748" i="17"/>
  <c r="N749" i="17"/>
  <c r="N752" i="17"/>
  <c r="N760" i="17"/>
  <c r="N761" i="17"/>
  <c r="N762" i="17"/>
  <c r="N769" i="17"/>
  <c r="N771" i="17"/>
  <c r="N772" i="17"/>
  <c r="N781" i="17"/>
  <c r="N782" i="17"/>
  <c r="N784" i="17"/>
  <c r="N785" i="17"/>
  <c r="N786" i="17"/>
  <c r="N795" i="17"/>
  <c r="N797" i="17"/>
  <c r="N798" i="17"/>
  <c r="N805" i="17"/>
  <c r="N819" i="17"/>
  <c r="N820" i="17"/>
  <c r="N829" i="17"/>
  <c r="N830" i="17"/>
  <c r="N831" i="17"/>
  <c r="N832" i="17"/>
  <c r="N833" i="17"/>
  <c r="N834" i="17"/>
  <c r="N841" i="17"/>
  <c r="N845" i="17"/>
  <c r="N846" i="17"/>
  <c r="N853" i="17"/>
  <c r="N854" i="17"/>
  <c r="N855" i="17"/>
  <c r="N857" i="17"/>
  <c r="N869" i="17"/>
  <c r="N870" i="17"/>
  <c r="N881" i="17"/>
  <c r="N882" i="17"/>
  <c r="N883" i="17"/>
  <c r="N889" i="17"/>
  <c r="N890" i="17"/>
  <c r="N891" i="17"/>
  <c r="N903" i="17"/>
  <c r="N904" i="17"/>
  <c r="N905" i="17"/>
  <c r="N906" i="17"/>
  <c r="N917" i="17"/>
  <c r="N918" i="17"/>
  <c r="N925" i="17"/>
  <c r="N926" i="17"/>
  <c r="N930" i="17"/>
  <c r="N931" i="17"/>
  <c r="N932" i="17"/>
  <c r="N938" i="17"/>
  <c r="N941" i="17"/>
  <c r="N942" i="17"/>
  <c r="N949" i="17"/>
  <c r="N952" i="17"/>
  <c r="N954" i="17"/>
  <c r="N955" i="17"/>
  <c r="N973" i="17"/>
  <c r="N974" i="17"/>
  <c r="N975" i="17"/>
  <c r="N976" i="17"/>
  <c r="N986" i="17"/>
  <c r="N989" i="17"/>
  <c r="N990" i="17"/>
  <c r="N999" i="17"/>
  <c r="N1000" i="17"/>
  <c r="N1001" i="17"/>
  <c r="N2" i="17"/>
  <c r="M35" i="17"/>
  <c r="M47" i="17"/>
  <c r="M49" i="17"/>
  <c r="M83" i="17"/>
  <c r="M85" i="17"/>
  <c r="M109" i="17"/>
  <c r="M117" i="17"/>
  <c r="M143" i="17"/>
  <c r="M145" i="17"/>
  <c r="M155" i="17"/>
  <c r="M191" i="17"/>
  <c r="M212" i="17"/>
  <c r="M213" i="17"/>
  <c r="M214" i="17"/>
  <c r="M239" i="17"/>
  <c r="M246" i="17"/>
  <c r="M251" i="17"/>
  <c r="M253" i="17"/>
  <c r="M275" i="17"/>
  <c r="M287" i="17"/>
  <c r="M289" i="17"/>
  <c r="M308" i="17"/>
  <c r="M309" i="17"/>
  <c r="M310" i="17"/>
  <c r="M311" i="17"/>
  <c r="M323" i="17"/>
  <c r="M347" i="17"/>
  <c r="M349" i="17"/>
  <c r="M380" i="17"/>
  <c r="M381" i="17"/>
  <c r="M407" i="17"/>
  <c r="M413" i="17"/>
  <c r="M419" i="17"/>
  <c r="M440" i="17"/>
  <c r="M443" i="17"/>
  <c r="M455" i="17"/>
  <c r="M479" i="17"/>
  <c r="M491" i="17"/>
  <c r="M493" i="17"/>
  <c r="M517" i="17"/>
  <c r="M529" i="17"/>
  <c r="M625" i="17"/>
  <c r="M626" i="17"/>
  <c r="M627" i="17"/>
  <c r="M656" i="17"/>
  <c r="M680" i="17"/>
  <c r="M681" i="17"/>
  <c r="M682" i="17"/>
  <c r="M683" i="17"/>
  <c r="M704" i="17"/>
  <c r="M721" i="17"/>
  <c r="M731" i="17"/>
  <c r="M778" i="17"/>
  <c r="M779" i="17"/>
  <c r="M817" i="17"/>
  <c r="M821" i="17"/>
  <c r="M822" i="17"/>
  <c r="M848" i="17"/>
  <c r="M853" i="17"/>
  <c r="M901" i="17"/>
  <c r="M932" i="17"/>
  <c r="M937" i="17"/>
  <c r="M938" i="17"/>
  <c r="M956"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L48" i="17"/>
  <c r="M48" i="17" s="1"/>
  <c r="L49" i="17"/>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L84" i="17"/>
  <c r="M84" i="17" s="1"/>
  <c r="L85" i="17"/>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L110" i="17"/>
  <c r="M110" i="17" s="1"/>
  <c r="L111" i="17"/>
  <c r="M111" i="17" s="1"/>
  <c r="L112" i="17"/>
  <c r="M112" i="17" s="1"/>
  <c r="L113" i="17"/>
  <c r="M113" i="17" s="1"/>
  <c r="L114" i="17"/>
  <c r="M114" i="17" s="1"/>
  <c r="L115" i="17"/>
  <c r="M115" i="17" s="1"/>
  <c r="L116" i="17"/>
  <c r="M116" i="17" s="1"/>
  <c r="L117" i="17"/>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L144" i="17"/>
  <c r="M144" i="17" s="1"/>
  <c r="L145" i="17"/>
  <c r="L146" i="17"/>
  <c r="M146" i="17" s="1"/>
  <c r="L147" i="17"/>
  <c r="M147" i="17" s="1"/>
  <c r="L148" i="17"/>
  <c r="M148" i="17" s="1"/>
  <c r="L149" i="17"/>
  <c r="M149" i="17" s="1"/>
  <c r="L150" i="17"/>
  <c r="M150" i="17" s="1"/>
  <c r="L151" i="17"/>
  <c r="M151" i="17" s="1"/>
  <c r="L152" i="17"/>
  <c r="M152" i="17" s="1"/>
  <c r="L153" i="17"/>
  <c r="M153" i="17" s="1"/>
  <c r="L154" i="17"/>
  <c r="M154" i="17" s="1"/>
  <c r="L155" i="17"/>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L213" i="17"/>
  <c r="L214" i="17"/>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L240" i="17"/>
  <c r="M240" i="17" s="1"/>
  <c r="L241" i="17"/>
  <c r="M241" i="17" s="1"/>
  <c r="L242" i="17"/>
  <c r="M242" i="17" s="1"/>
  <c r="L243" i="17"/>
  <c r="M243" i="17" s="1"/>
  <c r="L244" i="17"/>
  <c r="M244" i="17" s="1"/>
  <c r="L245" i="17"/>
  <c r="M245" i="17" s="1"/>
  <c r="L246" i="17"/>
  <c r="L247" i="17"/>
  <c r="M247" i="17" s="1"/>
  <c r="L248" i="17"/>
  <c r="M248" i="17" s="1"/>
  <c r="L249" i="17"/>
  <c r="M249" i="17" s="1"/>
  <c r="L250" i="17"/>
  <c r="M250" i="17" s="1"/>
  <c r="L251" i="17"/>
  <c r="L252" i="17"/>
  <c r="M252" i="17" s="1"/>
  <c r="L253" i="17"/>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L288" i="17"/>
  <c r="M288" i="17" s="1"/>
  <c r="L289" i="17"/>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L309" i="17"/>
  <c r="L310" i="17"/>
  <c r="L311" i="17"/>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L348" i="17"/>
  <c r="M348" i="17" s="1"/>
  <c r="L349" i="17"/>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L381" i="17"/>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L408" i="17"/>
  <c r="M408" i="17" s="1"/>
  <c r="L409" i="17"/>
  <c r="M409" i="17" s="1"/>
  <c r="L410" i="17"/>
  <c r="M410" i="17" s="1"/>
  <c r="L411" i="17"/>
  <c r="M411" i="17" s="1"/>
  <c r="L412" i="17"/>
  <c r="M412" i="17" s="1"/>
  <c r="L413" i="17"/>
  <c r="L414" i="17"/>
  <c r="M414" i="17" s="1"/>
  <c r="L415" i="17"/>
  <c r="M415" i="17" s="1"/>
  <c r="L416" i="17"/>
  <c r="M416" i="17" s="1"/>
  <c r="L417" i="17"/>
  <c r="M417" i="17" s="1"/>
  <c r="L418" i="17"/>
  <c r="M418" i="17" s="1"/>
  <c r="L419" i="17"/>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L441" i="17"/>
  <c r="M441" i="17" s="1"/>
  <c r="L442" i="17"/>
  <c r="M442" i="17" s="1"/>
  <c r="L443" i="17"/>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L492" i="17"/>
  <c r="M492" i="17" s="1"/>
  <c r="L493" i="17"/>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L626" i="17"/>
  <c r="L627" i="17"/>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L681" i="17"/>
  <c r="L682" i="17"/>
  <c r="L683" i="17"/>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L722" i="17"/>
  <c r="M722" i="17" s="1"/>
  <c r="L723" i="17"/>
  <c r="M723" i="17" s="1"/>
  <c r="L724" i="17"/>
  <c r="M724" i="17" s="1"/>
  <c r="L725" i="17"/>
  <c r="M725" i="17" s="1"/>
  <c r="L726" i="17"/>
  <c r="M726" i="17" s="1"/>
  <c r="L727" i="17"/>
  <c r="M727" i="17" s="1"/>
  <c r="L728" i="17"/>
  <c r="M728" i="17" s="1"/>
  <c r="L729" i="17"/>
  <c r="M729" i="17" s="1"/>
  <c r="L730" i="17"/>
  <c r="M730" i="17" s="1"/>
  <c r="L731" i="17"/>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L779" i="17"/>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L818" i="17"/>
  <c r="M818" i="17" s="1"/>
  <c r="L819" i="17"/>
  <c r="M819" i="17" s="1"/>
  <c r="L820" i="17"/>
  <c r="M820" i="17" s="1"/>
  <c r="L821" i="17"/>
  <c r="L822" i="17"/>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L849" i="17"/>
  <c r="M849" i="17" s="1"/>
  <c r="L850" i="17"/>
  <c r="M850" i="17" s="1"/>
  <c r="L851" i="17"/>
  <c r="M851" i="17" s="1"/>
  <c r="L852" i="17"/>
  <c r="M852" i="17" s="1"/>
  <c r="L853" i="17"/>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L933" i="17"/>
  <c r="M933" i="17" s="1"/>
  <c r="L934" i="17"/>
  <c r="M934" i="17" s="1"/>
  <c r="L935" i="17"/>
  <c r="M935" i="17" s="1"/>
  <c r="L936" i="17"/>
  <c r="M936" i="17" s="1"/>
  <c r="L937" i="17"/>
  <c r="L938" i="17"/>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J36" i="17"/>
  <c r="J37" i="17"/>
  <c r="O37" i="17" s="1"/>
  <c r="J38" i="17"/>
  <c r="O38" i="17" s="1"/>
  <c r="J39" i="17"/>
  <c r="O39" i="17" s="1"/>
  <c r="J40" i="17"/>
  <c r="O40" i="17" s="1"/>
  <c r="J41" i="17"/>
  <c r="O41" i="17" s="1"/>
  <c r="J42" i="17"/>
  <c r="O42" i="17" s="1"/>
  <c r="J43" i="17"/>
  <c r="J44" i="17"/>
  <c r="O44" i="17" s="1"/>
  <c r="J45" i="17"/>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J60" i="17"/>
  <c r="J61" i="17"/>
  <c r="J62" i="17"/>
  <c r="O62" i="17" s="1"/>
  <c r="J63" i="17"/>
  <c r="O63" i="17" s="1"/>
  <c r="J64" i="17"/>
  <c r="O64" i="17" s="1"/>
  <c r="J65" i="17"/>
  <c r="O65" i="17" s="1"/>
  <c r="J66" i="17"/>
  <c r="O66" i="17" s="1"/>
  <c r="J67" i="17"/>
  <c r="O67" i="17" s="1"/>
  <c r="J68" i="17"/>
  <c r="O68" i="17" s="1"/>
  <c r="J69" i="17"/>
  <c r="O69" i="17" s="1"/>
  <c r="J70" i="17"/>
  <c r="O70" i="17" s="1"/>
  <c r="J71" i="17"/>
  <c r="J72" i="17"/>
  <c r="O72" i="17" s="1"/>
  <c r="J73" i="17"/>
  <c r="O73" i="17" s="1"/>
  <c r="J74" i="17"/>
  <c r="O74" i="17" s="1"/>
  <c r="J75" i="17"/>
  <c r="O75" i="17" s="1"/>
  <c r="J76" i="17"/>
  <c r="J77" i="17"/>
  <c r="J78" i="17"/>
  <c r="O78" i="17" s="1"/>
  <c r="J79" i="17"/>
  <c r="O79" i="17" s="1"/>
  <c r="J80" i="17"/>
  <c r="O80" i="17" s="1"/>
  <c r="J81" i="17"/>
  <c r="O81" i="17" s="1"/>
  <c r="J82" i="17"/>
  <c r="O82" i="17" s="1"/>
  <c r="J83" i="17"/>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J120" i="17"/>
  <c r="O120" i="17" s="1"/>
  <c r="J121" i="17"/>
  <c r="O121" i="17" s="1"/>
  <c r="J122" i="17"/>
  <c r="J123" i="17"/>
  <c r="J124" i="17"/>
  <c r="O124" i="17" s="1"/>
  <c r="J125" i="17"/>
  <c r="O125" i="17" s="1"/>
  <c r="J126" i="17"/>
  <c r="O126" i="17" s="1"/>
  <c r="J127" i="17"/>
  <c r="O127" i="17" s="1"/>
  <c r="J128" i="17"/>
  <c r="O128" i="17" s="1"/>
  <c r="J129" i="17"/>
  <c r="J130" i="17"/>
  <c r="O130" i="17" s="1"/>
  <c r="J131" i="17"/>
  <c r="O131" i="17" s="1"/>
  <c r="J132" i="17"/>
  <c r="O132" i="17" s="1"/>
  <c r="J133" i="17"/>
  <c r="O133" i="17" s="1"/>
  <c r="J134" i="17"/>
  <c r="O134" i="17" s="1"/>
  <c r="J135" i="17"/>
  <c r="J136" i="17"/>
  <c r="O136" i="17" s="1"/>
  <c r="J137" i="17"/>
  <c r="O137" i="17" s="1"/>
  <c r="J138" i="17"/>
  <c r="O138" i="17" s="1"/>
  <c r="J139" i="17"/>
  <c r="J140" i="17"/>
  <c r="O140" i="17" s="1"/>
  <c r="J141" i="17"/>
  <c r="J142" i="17"/>
  <c r="O142" i="17" s="1"/>
  <c r="J143" i="17"/>
  <c r="O143" i="17" s="1"/>
  <c r="J144" i="17"/>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J157" i="17"/>
  <c r="O157" i="17" s="1"/>
  <c r="J158" i="17"/>
  <c r="O158" i="17" s="1"/>
  <c r="J159" i="17"/>
  <c r="O159" i="17" s="1"/>
  <c r="J160" i="17"/>
  <c r="O160" i="17" s="1"/>
  <c r="J161" i="17"/>
  <c r="O161" i="17" s="1"/>
  <c r="J162" i="17"/>
  <c r="O162" i="17" s="1"/>
  <c r="J163" i="17"/>
  <c r="O163" i="17" s="1"/>
  <c r="J164" i="17"/>
  <c r="O164" i="17" s="1"/>
  <c r="J165" i="17"/>
  <c r="J166" i="17"/>
  <c r="J167" i="17"/>
  <c r="J168" i="17"/>
  <c r="O168" i="17" s="1"/>
  <c r="J169" i="17"/>
  <c r="O169" i="17" s="1"/>
  <c r="J170" i="17"/>
  <c r="J171" i="17"/>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J193" i="17"/>
  <c r="O193" i="17" s="1"/>
  <c r="J194" i="17"/>
  <c r="O194" i="17" s="1"/>
  <c r="J195" i="17"/>
  <c r="O195" i="17" s="1"/>
  <c r="J196" i="17"/>
  <c r="O196" i="17" s="1"/>
  <c r="J197" i="17"/>
  <c r="O197" i="17" s="1"/>
  <c r="J198" i="17"/>
  <c r="O198" i="17" s="1"/>
  <c r="J199" i="17"/>
  <c r="O199" i="17" s="1"/>
  <c r="J200" i="17"/>
  <c r="O200" i="17" s="1"/>
  <c r="J201" i="17"/>
  <c r="J202" i="17"/>
  <c r="J203" i="17"/>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J224" i="17"/>
  <c r="O224" i="17" s="1"/>
  <c r="J225" i="17"/>
  <c r="O225" i="17" s="1"/>
  <c r="J226" i="17"/>
  <c r="O226" i="17" s="1"/>
  <c r="J227" i="17"/>
  <c r="O227" i="17" s="1"/>
  <c r="J228" i="17"/>
  <c r="O228" i="17" s="1"/>
  <c r="J229" i="17"/>
  <c r="J230" i="17"/>
  <c r="J231" i="17"/>
  <c r="O231" i="17" s="1"/>
  <c r="J232" i="17"/>
  <c r="O232" i="17" s="1"/>
  <c r="J233" i="17"/>
  <c r="O233" i="17" s="1"/>
  <c r="J234" i="17"/>
  <c r="O234" i="17" s="1"/>
  <c r="J235" i="17"/>
  <c r="O235" i="17" s="1"/>
  <c r="J236" i="17"/>
  <c r="O236" i="17" s="1"/>
  <c r="J237" i="17"/>
  <c r="O237" i="17" s="1"/>
  <c r="J238" i="17"/>
  <c r="O238" i="17" s="1"/>
  <c r="J239" i="17"/>
  <c r="O239" i="17" s="1"/>
  <c r="J240" i="17"/>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J272" i="17"/>
  <c r="O272" i="17" s="1"/>
  <c r="J273" i="17"/>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J313" i="17"/>
  <c r="O313" i="17" s="1"/>
  <c r="J314" i="17"/>
  <c r="O314" i="17" s="1"/>
  <c r="J315" i="17"/>
  <c r="O315" i="17" s="1"/>
  <c r="J316" i="17"/>
  <c r="O316" i="17" s="1"/>
  <c r="J317" i="17"/>
  <c r="O317" i="17" s="1"/>
  <c r="J318" i="17"/>
  <c r="O318" i="17" s="1"/>
  <c r="J319" i="17"/>
  <c r="J320" i="17"/>
  <c r="O320" i="17" s="1"/>
  <c r="J321" i="17"/>
  <c r="O321" i="17" s="1"/>
  <c r="J322" i="17"/>
  <c r="O322" i="17" s="1"/>
  <c r="J323" i="17"/>
  <c r="J324" i="17"/>
  <c r="J325" i="17"/>
  <c r="O325" i="17" s="1"/>
  <c r="J326" i="17"/>
  <c r="J327" i="17"/>
  <c r="J328" i="17"/>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J385" i="17"/>
  <c r="J386" i="17"/>
  <c r="O386" i="17" s="1"/>
  <c r="J387" i="17"/>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J418" i="17"/>
  <c r="J419" i="17"/>
  <c r="J420" i="17"/>
  <c r="O420" i="17" s="1"/>
  <c r="J421" i="17"/>
  <c r="O421" i="17" s="1"/>
  <c r="J422" i="17"/>
  <c r="O422" i="17" s="1"/>
  <c r="J423" i="17"/>
  <c r="O423" i="17" s="1"/>
  <c r="J424" i="17"/>
  <c r="O424" i="17" s="1"/>
  <c r="J425" i="17"/>
  <c r="O425" i="17" s="1"/>
  <c r="J426" i="17"/>
  <c r="O426" i="17" s="1"/>
  <c r="J427" i="17"/>
  <c r="J428" i="17"/>
  <c r="O428" i="17" s="1"/>
  <c r="J429" i="17"/>
  <c r="J430" i="17"/>
  <c r="J431" i="17"/>
  <c r="J432" i="17"/>
  <c r="O432" i="17" s="1"/>
  <c r="J433" i="17"/>
  <c r="O433" i="17" s="1"/>
  <c r="J434" i="17"/>
  <c r="O434" i="17" s="1"/>
  <c r="J435" i="17"/>
  <c r="O435" i="17" s="1"/>
  <c r="J436" i="17"/>
  <c r="O436" i="17" s="1"/>
  <c r="J437" i="17"/>
  <c r="J438" i="17"/>
  <c r="O438" i="17" s="1"/>
  <c r="J439" i="17"/>
  <c r="O439" i="17" s="1"/>
  <c r="J440" i="17"/>
  <c r="O440" i="17" s="1"/>
  <c r="J441" i="17"/>
  <c r="O441" i="17" s="1"/>
  <c r="J442" i="17"/>
  <c r="O442" i="17" s="1"/>
  <c r="J443" i="17"/>
  <c r="J444" i="17"/>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J456" i="17"/>
  <c r="O456" i="17" s="1"/>
  <c r="J457" i="17"/>
  <c r="O457" i="17" s="1"/>
  <c r="J458" i="17"/>
  <c r="O458" i="17" s="1"/>
  <c r="J459" i="17"/>
  <c r="O459" i="17" s="1"/>
  <c r="J460" i="17"/>
  <c r="O460" i="17" s="1"/>
  <c r="J461" i="17"/>
  <c r="O461" i="17" s="1"/>
  <c r="J462" i="17"/>
  <c r="O462" i="17" s="1"/>
  <c r="J463" i="17"/>
  <c r="J464" i="17"/>
  <c r="O464" i="17" s="1"/>
  <c r="J465" i="17"/>
  <c r="J466" i="17"/>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J481" i="17"/>
  <c r="J482" i="17"/>
  <c r="O482" i="17" s="1"/>
  <c r="J483" i="17"/>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J512" i="17"/>
  <c r="O512" i="17" s="1"/>
  <c r="J513" i="17"/>
  <c r="O513" i="17" s="1"/>
  <c r="J514" i="17"/>
  <c r="O514" i="17" s="1"/>
  <c r="J515" i="17"/>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J548" i="17"/>
  <c r="O548" i="17" s="1"/>
  <c r="J549" i="17"/>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J576" i="17"/>
  <c r="J577" i="17"/>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J590" i="17"/>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J649" i="17"/>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J673" i="17"/>
  <c r="O673" i="17" s="1"/>
  <c r="J674" i="17"/>
  <c r="O674" i="17" s="1"/>
  <c r="J675" i="17"/>
  <c r="O675" i="17" s="1"/>
  <c r="J676" i="17"/>
  <c r="O676" i="17" s="1"/>
  <c r="J677" i="17"/>
  <c r="O677" i="17" s="1"/>
  <c r="J678" i="17"/>
  <c r="O678" i="17" s="1"/>
  <c r="J679" i="17"/>
  <c r="O679" i="17" s="1"/>
  <c r="J680" i="17"/>
  <c r="O680" i="17" s="1"/>
  <c r="J681" i="17"/>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J712" i="17"/>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J728" i="17"/>
  <c r="O728" i="17" s="1"/>
  <c r="J729" i="17"/>
  <c r="O729" i="17" s="1"/>
  <c r="J730" i="17"/>
  <c r="O730" i="17" s="1"/>
  <c r="J731" i="17"/>
  <c r="O731" i="17" s="1"/>
  <c r="J732" i="17"/>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J745" i="17"/>
  <c r="O745" i="17" s="1"/>
  <c r="J746" i="17"/>
  <c r="O746" i="17" s="1"/>
  <c r="J747" i="17"/>
  <c r="O747" i="17" s="1"/>
  <c r="J748" i="17"/>
  <c r="O748" i="17" s="1"/>
  <c r="J749" i="17"/>
  <c r="O749" i="17" s="1"/>
  <c r="J750" i="17"/>
  <c r="O750" i="17" s="1"/>
  <c r="J751" i="17"/>
  <c r="J752" i="17"/>
  <c r="O752" i="17" s="1"/>
  <c r="J753" i="17"/>
  <c r="O753" i="17" s="1"/>
  <c r="J754" i="17"/>
  <c r="O754" i="17" s="1"/>
  <c r="J755" i="17"/>
  <c r="O755" i="17" s="1"/>
  <c r="J756" i="17"/>
  <c r="O756" i="17" s="1"/>
  <c r="J757" i="17"/>
  <c r="O757" i="17" s="1"/>
  <c r="J758" i="17"/>
  <c r="J759" i="17"/>
  <c r="O759" i="17" s="1"/>
  <c r="J760" i="17"/>
  <c r="O760" i="17" s="1"/>
  <c r="J761" i="17"/>
  <c r="O761" i="17" s="1"/>
  <c r="J762" i="17"/>
  <c r="O762" i="17" s="1"/>
  <c r="J763" i="17"/>
  <c r="O763" i="17" s="1"/>
  <c r="J764" i="17"/>
  <c r="O764" i="17" s="1"/>
  <c r="J765" i="17"/>
  <c r="O765" i="17" s="1"/>
  <c r="J766" i="17"/>
  <c r="O766" i="17" s="1"/>
  <c r="J767" i="17"/>
  <c r="J768" i="17"/>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J780" i="17"/>
  <c r="O780" i="17" s="1"/>
  <c r="J781" i="17"/>
  <c r="O781" i="17" s="1"/>
  <c r="J782" i="17"/>
  <c r="O782" i="17" s="1"/>
  <c r="J783" i="17"/>
  <c r="O783" i="17" s="1"/>
  <c r="J784" i="17"/>
  <c r="O784" i="17" s="1"/>
  <c r="J785" i="17"/>
  <c r="O785" i="17" s="1"/>
  <c r="J786" i="17"/>
  <c r="O786" i="17" s="1"/>
  <c r="J787" i="17"/>
  <c r="O787" i="17" s="1"/>
  <c r="J788" i="17"/>
  <c r="O788" i="17" s="1"/>
  <c r="J789" i="17"/>
  <c r="J790" i="17"/>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J805" i="17"/>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J836" i="17"/>
  <c r="O836" i="17" s="1"/>
  <c r="J837" i="17"/>
  <c r="J838" i="17"/>
  <c r="J839" i="17"/>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J852" i="17"/>
  <c r="O852" i="17" s="1"/>
  <c r="J853" i="17"/>
  <c r="O853" i="17" s="1"/>
  <c r="J854" i="17"/>
  <c r="O854" i="17" s="1"/>
  <c r="J855" i="17"/>
  <c r="O855" i="17" s="1"/>
  <c r="J856" i="17"/>
  <c r="J857" i="17"/>
  <c r="O857" i="17" s="1"/>
  <c r="J858" i="17"/>
  <c r="O858" i="17" s="1"/>
  <c r="J859" i="17"/>
  <c r="O859" i="17" s="1"/>
  <c r="J860" i="17"/>
  <c r="O860" i="17" s="1"/>
  <c r="J861" i="17"/>
  <c r="O861" i="17" s="1"/>
  <c r="J862" i="17"/>
  <c r="O862" i="17" s="1"/>
  <c r="J863" i="17"/>
  <c r="J864" i="17"/>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J884" i="17"/>
  <c r="O884" i="17" s="1"/>
  <c r="J885" i="17"/>
  <c r="J886" i="17"/>
  <c r="O886" i="17" s="1"/>
  <c r="J887" i="17"/>
  <c r="O887" i="17" s="1"/>
  <c r="J888" i="17"/>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J900" i="17"/>
  <c r="O900" i="17" s="1"/>
  <c r="J901" i="17"/>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J913" i="17"/>
  <c r="O913" i="17" s="1"/>
  <c r="J914" i="17"/>
  <c r="O914" i="17" s="1"/>
  <c r="J915" i="17"/>
  <c r="O915" i="17" s="1"/>
  <c r="J916" i="17"/>
  <c r="O916" i="17" s="1"/>
  <c r="J917" i="17"/>
  <c r="O917" i="17" s="1"/>
  <c r="J918" i="17"/>
  <c r="O918" i="17" s="1"/>
  <c r="J919" i="17"/>
  <c r="J920" i="17"/>
  <c r="O920" i="17" s="1"/>
  <c r="J921" i="17"/>
  <c r="J922" i="17"/>
  <c r="O922" i="17" s="1"/>
  <c r="J923" i="17"/>
  <c r="O923" i="17" s="1"/>
  <c r="J924" i="17"/>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J947" i="17"/>
  <c r="J948" i="17"/>
  <c r="J949" i="17"/>
  <c r="O949" i="17" s="1"/>
  <c r="J950" i="17"/>
  <c r="O950" i="17" s="1"/>
  <c r="J951" i="17"/>
  <c r="O951" i="17" s="1"/>
  <c r="J952" i="17"/>
  <c r="O952" i="17" s="1"/>
  <c r="J953" i="17"/>
  <c r="O953" i="17" s="1"/>
  <c r="J954" i="17"/>
  <c r="O954" i="17" s="1"/>
  <c r="J955" i="17"/>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J988" i="17"/>
  <c r="O988" i="17" s="1"/>
  <c r="J989" i="17"/>
  <c r="O989" i="17" s="1"/>
  <c r="J990" i="17"/>
  <c r="O990" i="17" s="1"/>
  <c r="J991" i="17"/>
  <c r="O991" i="17" s="1"/>
  <c r="J992" i="17"/>
  <c r="O992" i="17" s="1"/>
  <c r="J993" i="17"/>
  <c r="O993" i="17" s="1"/>
  <c r="J994" i="17"/>
  <c r="O994" i="17" s="1"/>
  <c r="J995" i="17"/>
  <c r="J996" i="17"/>
  <c r="J997" i="17"/>
  <c r="O997" i="17" s="1"/>
  <c r="J998" i="17"/>
  <c r="O998" i="17" s="1"/>
  <c r="J999" i="17"/>
  <c r="O999" i="17" s="1"/>
  <c r="J1000" i="17"/>
  <c r="O1000" i="17" s="1"/>
  <c r="J1001" i="17"/>
  <c r="O1001" i="17" s="1"/>
  <c r="J2" i="17"/>
  <c r="O2" i="17" s="1"/>
  <c r="K2" i="17"/>
  <c r="M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I19" i="17"/>
  <c r="N19" i="17" s="1"/>
  <c r="I20" i="17"/>
  <c r="I21" i="17"/>
  <c r="I22" i="17"/>
  <c r="I23" i="17"/>
  <c r="N23" i="17" s="1"/>
  <c r="I24" i="17"/>
  <c r="N24" i="17" s="1"/>
  <c r="I25" i="17"/>
  <c r="N25" i="17" s="1"/>
  <c r="I26" i="17"/>
  <c r="N26" i="17" s="1"/>
  <c r="I27" i="17"/>
  <c r="N27" i="17" s="1"/>
  <c r="I28" i="17"/>
  <c r="N28" i="17" s="1"/>
  <c r="I29" i="17"/>
  <c r="I30" i="17"/>
  <c r="N30" i="17" s="1"/>
  <c r="I31" i="17"/>
  <c r="N31" i="17" s="1"/>
  <c r="I32" i="17"/>
  <c r="N32" i="17" s="1"/>
  <c r="I33" i="17"/>
  <c r="N33" i="17" s="1"/>
  <c r="I34" i="17"/>
  <c r="N34" i="17" s="1"/>
  <c r="I35" i="17"/>
  <c r="N35" i="17" s="1"/>
  <c r="I36" i="17"/>
  <c r="N36" i="17" s="1"/>
  <c r="I37" i="17"/>
  <c r="I38" i="17"/>
  <c r="N38" i="17" s="1"/>
  <c r="I39" i="17"/>
  <c r="N39" i="17" s="1"/>
  <c r="I40" i="17"/>
  <c r="N40" i="17" s="1"/>
  <c r="I41" i="17"/>
  <c r="N41" i="17" s="1"/>
  <c r="I42" i="17"/>
  <c r="I43" i="17"/>
  <c r="N43" i="17" s="1"/>
  <c r="I44" i="17"/>
  <c r="N44" i="17" s="1"/>
  <c r="I45" i="17"/>
  <c r="N45" i="17" s="1"/>
  <c r="I46" i="17"/>
  <c r="N46" i="17" s="1"/>
  <c r="I47" i="17"/>
  <c r="N47" i="17" s="1"/>
  <c r="I48" i="17"/>
  <c r="N48" i="17" s="1"/>
  <c r="I49" i="17"/>
  <c r="I50" i="17"/>
  <c r="N50" i="17" s="1"/>
  <c r="I51" i="17"/>
  <c r="I52" i="17"/>
  <c r="N52" i="17" s="1"/>
  <c r="I53" i="17"/>
  <c r="I54" i="17"/>
  <c r="N54" i="17" s="1"/>
  <c r="I55" i="17"/>
  <c r="I56" i="17"/>
  <c r="I57" i="17"/>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I76" i="17"/>
  <c r="N76" i="17" s="1"/>
  <c r="I77" i="17"/>
  <c r="I78" i="17"/>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I101" i="17"/>
  <c r="N101" i="17" s="1"/>
  <c r="I102" i="17"/>
  <c r="N102" i="17" s="1"/>
  <c r="I103" i="17"/>
  <c r="I104" i="17"/>
  <c r="N104" i="17" s="1"/>
  <c r="I105" i="17"/>
  <c r="I106" i="17"/>
  <c r="N106" i="17" s="1"/>
  <c r="I107" i="17"/>
  <c r="N107" i="17" s="1"/>
  <c r="I108" i="17"/>
  <c r="N108" i="17" s="1"/>
  <c r="I109" i="17"/>
  <c r="N109" i="17" s="1"/>
  <c r="I110" i="17"/>
  <c r="N110" i="17" s="1"/>
  <c r="I111" i="17"/>
  <c r="I112" i="17"/>
  <c r="N112" i="17" s="1"/>
  <c r="I113" i="17"/>
  <c r="N113" i="17" s="1"/>
  <c r="I114" i="17"/>
  <c r="I115" i="17"/>
  <c r="N115" i="17" s="1"/>
  <c r="I116" i="17"/>
  <c r="N116" i="17" s="1"/>
  <c r="I117" i="17"/>
  <c r="N117" i="17" s="1"/>
  <c r="I118" i="17"/>
  <c r="N118" i="17" s="1"/>
  <c r="I119" i="17"/>
  <c r="N119" i="17" s="1"/>
  <c r="I120" i="17"/>
  <c r="N120" i="17" s="1"/>
  <c r="I121" i="17"/>
  <c r="N121" i="17" s="1"/>
  <c r="I122" i="17"/>
  <c r="I123" i="17"/>
  <c r="N123" i="17" s="1"/>
  <c r="I124" i="17"/>
  <c r="N124" i="17" s="1"/>
  <c r="I125" i="17"/>
  <c r="I126" i="17"/>
  <c r="N126" i="17" s="1"/>
  <c r="I127" i="17"/>
  <c r="N127" i="17" s="1"/>
  <c r="I128" i="17"/>
  <c r="N128" i="17" s="1"/>
  <c r="I129" i="17"/>
  <c r="N129" i="17" s="1"/>
  <c r="I130" i="17"/>
  <c r="N130" i="17" s="1"/>
  <c r="I131" i="17"/>
  <c r="N131" i="17" s="1"/>
  <c r="I132" i="17"/>
  <c r="N132" i="17" s="1"/>
  <c r="I133" i="17"/>
  <c r="I134" i="17"/>
  <c r="N134" i="17" s="1"/>
  <c r="I135" i="17"/>
  <c r="N135" i="17" s="1"/>
  <c r="I136" i="17"/>
  <c r="N136" i="17" s="1"/>
  <c r="I137" i="17"/>
  <c r="I138" i="17"/>
  <c r="I139" i="17"/>
  <c r="I140" i="17"/>
  <c r="N140" i="17" s="1"/>
  <c r="I141" i="17"/>
  <c r="N141" i="17" s="1"/>
  <c r="I142" i="17"/>
  <c r="N142" i="17" s="1"/>
  <c r="I143" i="17"/>
  <c r="N143" i="17" s="1"/>
  <c r="I144" i="17"/>
  <c r="N144" i="17" s="1"/>
  <c r="I145" i="17"/>
  <c r="N145" i="17" s="1"/>
  <c r="I146" i="17"/>
  <c r="N146" i="17" s="1"/>
  <c r="I147" i="17"/>
  <c r="N147" i="17" s="1"/>
  <c r="I148" i="17"/>
  <c r="N148" i="17" s="1"/>
  <c r="I149" i="17"/>
  <c r="I150" i="17"/>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I162" i="17"/>
  <c r="I163" i="17"/>
  <c r="N163" i="17" s="1"/>
  <c r="I164" i="17"/>
  <c r="N164" i="17" s="1"/>
  <c r="I165" i="17"/>
  <c r="N165" i="17" s="1"/>
  <c r="I166" i="17"/>
  <c r="N166" i="17" s="1"/>
  <c r="I167" i="17"/>
  <c r="N167" i="17" s="1"/>
  <c r="I168" i="17"/>
  <c r="N168" i="17" s="1"/>
  <c r="I169" i="17"/>
  <c r="N169" i="17" s="1"/>
  <c r="I170" i="17"/>
  <c r="I171" i="17"/>
  <c r="I172" i="17"/>
  <c r="I173" i="17"/>
  <c r="I174" i="17"/>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I187" i="17"/>
  <c r="N187" i="17" s="1"/>
  <c r="I188" i="17"/>
  <c r="N188" i="17" s="1"/>
  <c r="I189" i="17"/>
  <c r="N189" i="17" s="1"/>
  <c r="I190" i="17"/>
  <c r="N190" i="17" s="1"/>
  <c r="I191" i="17"/>
  <c r="N191" i="17" s="1"/>
  <c r="I192" i="17"/>
  <c r="N192" i="17" s="1"/>
  <c r="I193" i="17"/>
  <c r="I194" i="17"/>
  <c r="N194" i="17" s="1"/>
  <c r="I195" i="17"/>
  <c r="N195" i="17" s="1"/>
  <c r="I196" i="17"/>
  <c r="I197" i="17"/>
  <c r="I198" i="17"/>
  <c r="I199" i="17"/>
  <c r="N199" i="17" s="1"/>
  <c r="I200" i="17"/>
  <c r="N200" i="17" s="1"/>
  <c r="I201" i="17"/>
  <c r="N201" i="17" s="1"/>
  <c r="I202" i="17"/>
  <c r="N202" i="17" s="1"/>
  <c r="I203" i="17"/>
  <c r="N203" i="17" s="1"/>
  <c r="I204" i="17"/>
  <c r="N204" i="17" s="1"/>
  <c r="I205" i="17"/>
  <c r="N205" i="17" s="1"/>
  <c r="I206" i="17"/>
  <c r="I207" i="17"/>
  <c r="N207" i="17" s="1"/>
  <c r="I208" i="17"/>
  <c r="N208" i="17" s="1"/>
  <c r="I209" i="17"/>
  <c r="I210" i="17"/>
  <c r="N210" i="17" s="1"/>
  <c r="I211" i="17"/>
  <c r="I212" i="17"/>
  <c r="N212" i="17" s="1"/>
  <c r="I213" i="17"/>
  <c r="N213" i="17" s="1"/>
  <c r="I214" i="17"/>
  <c r="N214" i="17" s="1"/>
  <c r="I215" i="17"/>
  <c r="N215" i="17" s="1"/>
  <c r="I216" i="17"/>
  <c r="N216" i="17" s="1"/>
  <c r="I217" i="17"/>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I230" i="17"/>
  <c r="N230" i="17" s="1"/>
  <c r="I231" i="17"/>
  <c r="I232" i="17"/>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I245" i="17"/>
  <c r="N245" i="17" s="1"/>
  <c r="I246" i="17"/>
  <c r="N246" i="17" s="1"/>
  <c r="I247" i="17"/>
  <c r="N247" i="17" s="1"/>
  <c r="I248" i="17"/>
  <c r="N248" i="17" s="1"/>
  <c r="I249" i="17"/>
  <c r="N249" i="17" s="1"/>
  <c r="I250" i="17"/>
  <c r="N250" i="17" s="1"/>
  <c r="I251" i="17"/>
  <c r="N251" i="17" s="1"/>
  <c r="I252" i="17"/>
  <c r="N252" i="17" s="1"/>
  <c r="I253" i="17"/>
  <c r="I254" i="17"/>
  <c r="N254" i="17" s="1"/>
  <c r="I255" i="17"/>
  <c r="N255" i="17" s="1"/>
  <c r="I256" i="17"/>
  <c r="N256" i="17" s="1"/>
  <c r="I257" i="17"/>
  <c r="N257" i="17" s="1"/>
  <c r="I258" i="17"/>
  <c r="I259" i="17"/>
  <c r="N259" i="17" s="1"/>
  <c r="I260" i="17"/>
  <c r="N260" i="17" s="1"/>
  <c r="I261" i="17"/>
  <c r="N261" i="17" s="1"/>
  <c r="I262" i="17"/>
  <c r="N262" i="17" s="1"/>
  <c r="I263" i="17"/>
  <c r="N263" i="17" s="1"/>
  <c r="I264" i="17"/>
  <c r="N264" i="17" s="1"/>
  <c r="I265" i="17"/>
  <c r="I266" i="17"/>
  <c r="N266" i="17" s="1"/>
  <c r="I267" i="17"/>
  <c r="N267" i="17" s="1"/>
  <c r="I268" i="17"/>
  <c r="N268" i="17" s="1"/>
  <c r="I269" i="17"/>
  <c r="N269" i="17" s="1"/>
  <c r="I270" i="17"/>
  <c r="I271" i="17"/>
  <c r="N271" i="17" s="1"/>
  <c r="I272" i="17"/>
  <c r="N272" i="17" s="1"/>
  <c r="I273" i="17"/>
  <c r="N273" i="17" s="1"/>
  <c r="I274" i="17"/>
  <c r="N274" i="17" s="1"/>
  <c r="I275" i="17"/>
  <c r="N275" i="17" s="1"/>
  <c r="I276" i="17"/>
  <c r="N276" i="17" s="1"/>
  <c r="I277" i="17"/>
  <c r="N277" i="17" s="1"/>
  <c r="I278" i="17"/>
  <c r="N278" i="17" s="1"/>
  <c r="I279" i="17"/>
  <c r="N279" i="17" s="1"/>
  <c r="I280" i="17"/>
  <c r="I281" i="17"/>
  <c r="I282" i="17"/>
  <c r="I283" i="17"/>
  <c r="I284" i="17"/>
  <c r="N284" i="17" s="1"/>
  <c r="I285" i="17"/>
  <c r="N285" i="17" s="1"/>
  <c r="I286" i="17"/>
  <c r="N286" i="17" s="1"/>
  <c r="I287" i="17"/>
  <c r="N287" i="17" s="1"/>
  <c r="I288" i="17"/>
  <c r="N288" i="17" s="1"/>
  <c r="I289" i="17"/>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I303" i="17"/>
  <c r="I304" i="17"/>
  <c r="I305" i="17"/>
  <c r="I306" i="17"/>
  <c r="I307" i="17"/>
  <c r="I308" i="17"/>
  <c r="N308" i="17" s="1"/>
  <c r="I309" i="17"/>
  <c r="I310" i="17"/>
  <c r="N310" i="17" s="1"/>
  <c r="I311" i="17"/>
  <c r="N311" i="17" s="1"/>
  <c r="I312" i="17"/>
  <c r="N312" i="17" s="1"/>
  <c r="I313" i="17"/>
  <c r="N313" i="17" s="1"/>
  <c r="I314" i="17"/>
  <c r="N314" i="17" s="1"/>
  <c r="I315" i="17"/>
  <c r="N315" i="17" s="1"/>
  <c r="I316" i="17"/>
  <c r="N316" i="17" s="1"/>
  <c r="I317" i="17"/>
  <c r="N317" i="17" s="1"/>
  <c r="I318" i="17"/>
  <c r="I319" i="17"/>
  <c r="I320" i="17"/>
  <c r="N320" i="17" s="1"/>
  <c r="I321" i="17"/>
  <c r="N321" i="17" s="1"/>
  <c r="I322" i="17"/>
  <c r="N322" i="17" s="1"/>
  <c r="I323" i="17"/>
  <c r="N323" i="17" s="1"/>
  <c r="I324" i="17"/>
  <c r="N324" i="17" s="1"/>
  <c r="I325" i="17"/>
  <c r="N325" i="17" s="1"/>
  <c r="I326" i="17"/>
  <c r="N326" i="17" s="1"/>
  <c r="I327" i="17"/>
  <c r="N327" i="17" s="1"/>
  <c r="I328" i="17"/>
  <c r="N328" i="17" s="1"/>
  <c r="I329" i="17"/>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I341" i="17"/>
  <c r="N341" i="17" s="1"/>
  <c r="I342" i="17"/>
  <c r="I343" i="17"/>
  <c r="I344" i="17"/>
  <c r="I345" i="17"/>
  <c r="N345" i="17" s="1"/>
  <c r="I346" i="17"/>
  <c r="N346" i="17" s="1"/>
  <c r="I347" i="17"/>
  <c r="N347" i="17" s="1"/>
  <c r="I348" i="17"/>
  <c r="N348" i="17" s="1"/>
  <c r="I349" i="17"/>
  <c r="N349" i="17" s="1"/>
  <c r="I350" i="17"/>
  <c r="N350" i="17" s="1"/>
  <c r="I351" i="17"/>
  <c r="N351" i="17" s="1"/>
  <c r="I352" i="17"/>
  <c r="N352" i="17" s="1"/>
  <c r="I353" i="17"/>
  <c r="N353" i="17" s="1"/>
  <c r="I354" i="17"/>
  <c r="I355" i="17"/>
  <c r="I356" i="17"/>
  <c r="N356" i="17" s="1"/>
  <c r="I357" i="17"/>
  <c r="I358" i="17"/>
  <c r="N358" i="17" s="1"/>
  <c r="I359" i="17"/>
  <c r="N359" i="17" s="1"/>
  <c r="I360" i="17"/>
  <c r="N360" i="17" s="1"/>
  <c r="I361" i="17"/>
  <c r="N361" i="17" s="1"/>
  <c r="I362" i="17"/>
  <c r="N362" i="17" s="1"/>
  <c r="I363" i="17"/>
  <c r="N363" i="17" s="1"/>
  <c r="I364" i="17"/>
  <c r="N364" i="17" s="1"/>
  <c r="I365" i="17"/>
  <c r="N365" i="17" s="1"/>
  <c r="I366" i="17"/>
  <c r="I367" i="17"/>
  <c r="N367" i="17" s="1"/>
  <c r="I368" i="17"/>
  <c r="N368" i="17" s="1"/>
  <c r="I369" i="17"/>
  <c r="N369" i="17" s="1"/>
  <c r="I370" i="17"/>
  <c r="N370" i="17" s="1"/>
  <c r="I371" i="17"/>
  <c r="N371" i="17" s="1"/>
  <c r="I372" i="17"/>
  <c r="N372" i="17" s="1"/>
  <c r="I373" i="17"/>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I386" i="17"/>
  <c r="I387" i="17"/>
  <c r="N387" i="17" s="1"/>
  <c r="I388" i="17"/>
  <c r="N388" i="17" s="1"/>
  <c r="I389" i="17"/>
  <c r="N389" i="17" s="1"/>
  <c r="I390" i="17"/>
  <c r="N390" i="17" s="1"/>
  <c r="I391" i="17"/>
  <c r="N391" i="17" s="1"/>
  <c r="I392" i="17"/>
  <c r="I393" i="17"/>
  <c r="I394" i="17"/>
  <c r="N394" i="17" s="1"/>
  <c r="I395" i="17"/>
  <c r="N395" i="17" s="1"/>
  <c r="I396" i="17"/>
  <c r="N396" i="17" s="1"/>
  <c r="I397" i="17"/>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I411" i="17"/>
  <c r="I412" i="17"/>
  <c r="I413" i="17"/>
  <c r="I414" i="17"/>
  <c r="N414" i="17" s="1"/>
  <c r="I415" i="17"/>
  <c r="I416" i="17"/>
  <c r="N416" i="17" s="1"/>
  <c r="I417" i="17"/>
  <c r="N417" i="17" s="1"/>
  <c r="I418" i="17"/>
  <c r="N418" i="17" s="1"/>
  <c r="I419" i="17"/>
  <c r="N419" i="17" s="1"/>
  <c r="I420" i="17"/>
  <c r="N420" i="17" s="1"/>
  <c r="I421" i="17"/>
  <c r="I422" i="17"/>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I438" i="17"/>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I450" i="17"/>
  <c r="I451" i="17"/>
  <c r="N451" i="17" s="1"/>
  <c r="I452" i="17"/>
  <c r="N452" i="17" s="1"/>
  <c r="I453" i="17"/>
  <c r="N453" i="17" s="1"/>
  <c r="I454" i="17"/>
  <c r="N454" i="17" s="1"/>
  <c r="I455" i="17"/>
  <c r="N455" i="17" s="1"/>
  <c r="I456" i="17"/>
  <c r="N456" i="17" s="1"/>
  <c r="I457" i="17"/>
  <c r="I458" i="17"/>
  <c r="N458" i="17" s="1"/>
  <c r="I459" i="17"/>
  <c r="N459" i="17" s="1"/>
  <c r="I460" i="17"/>
  <c r="I461" i="17"/>
  <c r="N461" i="17" s="1"/>
  <c r="I462" i="17"/>
  <c r="N462" i="17" s="1"/>
  <c r="I463" i="17"/>
  <c r="N463" i="17" s="1"/>
  <c r="I464" i="17"/>
  <c r="N464" i="17" s="1"/>
  <c r="I465" i="17"/>
  <c r="N465" i="17" s="1"/>
  <c r="I466" i="17"/>
  <c r="N466" i="17" s="1"/>
  <c r="I467" i="17"/>
  <c r="N467" i="17" s="1"/>
  <c r="I468" i="17"/>
  <c r="N468" i="17" s="1"/>
  <c r="I469" i="17"/>
  <c r="N469" i="17" s="1"/>
  <c r="I470" i="17"/>
  <c r="I471" i="17"/>
  <c r="I472" i="17"/>
  <c r="I473" i="17"/>
  <c r="I474" i="17"/>
  <c r="N474" i="17" s="1"/>
  <c r="I475" i="17"/>
  <c r="N475" i="17" s="1"/>
  <c r="I476" i="17"/>
  <c r="N476" i="17" s="1"/>
  <c r="I477" i="17"/>
  <c r="N477" i="17" s="1"/>
  <c r="I478" i="17"/>
  <c r="N478" i="17" s="1"/>
  <c r="I479" i="17"/>
  <c r="N479" i="17" s="1"/>
  <c r="I480" i="17"/>
  <c r="N480" i="17" s="1"/>
  <c r="I481" i="17"/>
  <c r="I482" i="17"/>
  <c r="N482" i="17" s="1"/>
  <c r="I483" i="17"/>
  <c r="I484" i="17"/>
  <c r="I485" i="17"/>
  <c r="N485" i="17" s="1"/>
  <c r="I486" i="17"/>
  <c r="N486" i="17" s="1"/>
  <c r="I487" i="17"/>
  <c r="I488" i="17"/>
  <c r="I489" i="17"/>
  <c r="N489" i="17" s="1"/>
  <c r="I490" i="17"/>
  <c r="N490" i="17" s="1"/>
  <c r="I491" i="17"/>
  <c r="N491" i="17" s="1"/>
  <c r="I492" i="17"/>
  <c r="N492" i="17" s="1"/>
  <c r="I493" i="17"/>
  <c r="N493" i="17" s="1"/>
  <c r="I494" i="17"/>
  <c r="N494" i="17" s="1"/>
  <c r="I495" i="17"/>
  <c r="N495" i="17" s="1"/>
  <c r="I496" i="17"/>
  <c r="N496" i="17" s="1"/>
  <c r="I497" i="17"/>
  <c r="I498" i="17"/>
  <c r="I499" i="17"/>
  <c r="N499" i="17" s="1"/>
  <c r="I500" i="17"/>
  <c r="N500" i="17" s="1"/>
  <c r="I501" i="17"/>
  <c r="N501" i="17" s="1"/>
  <c r="I502" i="17"/>
  <c r="N502" i="17" s="1"/>
  <c r="I503" i="17"/>
  <c r="N503" i="17" s="1"/>
  <c r="I504" i="17"/>
  <c r="N504" i="17" s="1"/>
  <c r="I505" i="17"/>
  <c r="N505" i="17" s="1"/>
  <c r="I506" i="17"/>
  <c r="N506" i="17" s="1"/>
  <c r="I507" i="17"/>
  <c r="I508" i="17"/>
  <c r="N508" i="17" s="1"/>
  <c r="I509" i="17"/>
  <c r="N509" i="17" s="1"/>
  <c r="I510" i="17"/>
  <c r="N510" i="17" s="1"/>
  <c r="I511" i="17"/>
  <c r="N511" i="17" s="1"/>
  <c r="I512" i="17"/>
  <c r="N512" i="17" s="1"/>
  <c r="I513" i="17"/>
  <c r="N513" i="17" s="1"/>
  <c r="I514" i="17"/>
  <c r="N514" i="17" s="1"/>
  <c r="I515" i="17"/>
  <c r="N515" i="17" s="1"/>
  <c r="I516" i="17"/>
  <c r="N516" i="17" s="1"/>
  <c r="I517" i="17"/>
  <c r="I518" i="17"/>
  <c r="N518" i="17" s="1"/>
  <c r="I519" i="17"/>
  <c r="I520" i="17"/>
  <c r="N520" i="17" s="1"/>
  <c r="I521" i="17"/>
  <c r="N521" i="17" s="1"/>
  <c r="I522" i="17"/>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I534" i="17"/>
  <c r="N534" i="17" s="1"/>
  <c r="I535" i="17"/>
  <c r="N535" i="17" s="1"/>
  <c r="I536" i="17"/>
  <c r="N536" i="17" s="1"/>
  <c r="I537" i="17"/>
  <c r="N537" i="17" s="1"/>
  <c r="I538" i="17"/>
  <c r="N538" i="17" s="1"/>
  <c r="I539" i="17"/>
  <c r="N539" i="17" s="1"/>
  <c r="I540" i="17"/>
  <c r="N540" i="17" s="1"/>
  <c r="I541" i="17"/>
  <c r="I542" i="17"/>
  <c r="I543" i="17"/>
  <c r="N543" i="17" s="1"/>
  <c r="I544" i="17"/>
  <c r="N544" i="17" s="1"/>
  <c r="I545" i="17"/>
  <c r="I546" i="17"/>
  <c r="N546" i="17" s="1"/>
  <c r="I547" i="17"/>
  <c r="N547" i="17" s="1"/>
  <c r="I548" i="17"/>
  <c r="N548" i="17" s="1"/>
  <c r="I549" i="17"/>
  <c r="N549" i="17" s="1"/>
  <c r="I550" i="17"/>
  <c r="N550" i="17" s="1"/>
  <c r="I551" i="17"/>
  <c r="N551" i="17" s="1"/>
  <c r="I552" i="17"/>
  <c r="N552" i="17" s="1"/>
  <c r="I553" i="17"/>
  <c r="N553" i="17" s="1"/>
  <c r="I554" i="17"/>
  <c r="I555" i="17"/>
  <c r="N555" i="17" s="1"/>
  <c r="I556" i="17"/>
  <c r="N556" i="17" s="1"/>
  <c r="I557" i="17"/>
  <c r="I558" i="17"/>
  <c r="I559" i="17"/>
  <c r="N559" i="17" s="1"/>
  <c r="I560" i="17"/>
  <c r="N560" i="17" s="1"/>
  <c r="I561" i="17"/>
  <c r="N561" i="17" s="1"/>
  <c r="I562" i="17"/>
  <c r="N562" i="17" s="1"/>
  <c r="I563" i="17"/>
  <c r="N563" i="17" s="1"/>
  <c r="I564" i="17"/>
  <c r="N564" i="17" s="1"/>
  <c r="I565" i="17"/>
  <c r="I566" i="17"/>
  <c r="I567" i="17"/>
  <c r="N567" i="17" s="1"/>
  <c r="I568" i="17"/>
  <c r="N568" i="17" s="1"/>
  <c r="I569" i="17"/>
  <c r="I570" i="17"/>
  <c r="N570" i="17" s="1"/>
  <c r="I571" i="17"/>
  <c r="I572" i="17"/>
  <c r="N572" i="17" s="1"/>
  <c r="I573" i="17"/>
  <c r="N573" i="17" s="1"/>
  <c r="I574" i="17"/>
  <c r="N574" i="17" s="1"/>
  <c r="I575" i="17"/>
  <c r="N575" i="17" s="1"/>
  <c r="I576" i="17"/>
  <c r="N576" i="17" s="1"/>
  <c r="I577" i="17"/>
  <c r="N577" i="17" s="1"/>
  <c r="I578" i="17"/>
  <c r="N578" i="17" s="1"/>
  <c r="I579" i="17"/>
  <c r="N579" i="17" s="1"/>
  <c r="I580" i="17"/>
  <c r="I581" i="17"/>
  <c r="I582" i="17"/>
  <c r="I583" i="17"/>
  <c r="I584" i="17"/>
  <c r="N584" i="17" s="1"/>
  <c r="I585" i="17"/>
  <c r="N585" i="17" s="1"/>
  <c r="I586" i="17"/>
  <c r="N586" i="17" s="1"/>
  <c r="I587" i="17"/>
  <c r="N587" i="17" s="1"/>
  <c r="I588" i="17"/>
  <c r="N588" i="17" s="1"/>
  <c r="I589" i="17"/>
  <c r="N589" i="17" s="1"/>
  <c r="I590" i="17"/>
  <c r="N590" i="17" s="1"/>
  <c r="I591" i="17"/>
  <c r="N591" i="17" s="1"/>
  <c r="I592" i="17"/>
  <c r="N592" i="17" s="1"/>
  <c r="I593" i="17"/>
  <c r="I594" i="17"/>
  <c r="N594" i="17" s="1"/>
  <c r="I595" i="17"/>
  <c r="N595" i="17" s="1"/>
  <c r="I596" i="17"/>
  <c r="N596" i="17" s="1"/>
  <c r="I597" i="17"/>
  <c r="N597" i="17" s="1"/>
  <c r="I598" i="17"/>
  <c r="N598" i="17" s="1"/>
  <c r="I599" i="17"/>
  <c r="N599" i="17" s="1"/>
  <c r="I600" i="17"/>
  <c r="N600" i="17" s="1"/>
  <c r="I601" i="17"/>
  <c r="N601" i="17" s="1"/>
  <c r="I602" i="17"/>
  <c r="N602" i="17" s="1"/>
  <c r="I603" i="17"/>
  <c r="I604" i="17"/>
  <c r="N604" i="17" s="1"/>
  <c r="I605" i="17"/>
  <c r="I606" i="17"/>
  <c r="I607" i="17"/>
  <c r="N607" i="17" s="1"/>
  <c r="I608" i="17"/>
  <c r="N608" i="17" s="1"/>
  <c r="I609" i="17"/>
  <c r="N609" i="17" s="1"/>
  <c r="I610" i="17"/>
  <c r="N610" i="17" s="1"/>
  <c r="I611" i="17"/>
  <c r="N611" i="17" s="1"/>
  <c r="I612" i="17"/>
  <c r="N612" i="17" s="1"/>
  <c r="I613" i="17"/>
  <c r="N613" i="17" s="1"/>
  <c r="I614" i="17"/>
  <c r="I615" i="17"/>
  <c r="I616" i="17"/>
  <c r="I617" i="17"/>
  <c r="N617" i="17" s="1"/>
  <c r="I618" i="17"/>
  <c r="N618" i="17" s="1"/>
  <c r="I619" i="17"/>
  <c r="N619" i="17" s="1"/>
  <c r="I620" i="17"/>
  <c r="N620" i="17" s="1"/>
  <c r="I621" i="17"/>
  <c r="N621" i="17" s="1"/>
  <c r="I622" i="17"/>
  <c r="N622" i="17" s="1"/>
  <c r="I623" i="17"/>
  <c r="N623" i="17" s="1"/>
  <c r="I624" i="17"/>
  <c r="N624" i="17" s="1"/>
  <c r="I625" i="17"/>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I638" i="17"/>
  <c r="I639" i="17"/>
  <c r="N639" i="17" s="1"/>
  <c r="I640" i="17"/>
  <c r="I641" i="17"/>
  <c r="I642" i="17"/>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I654" i="17"/>
  <c r="I655" i="17"/>
  <c r="N655" i="17" s="1"/>
  <c r="I656" i="17"/>
  <c r="N656" i="17" s="1"/>
  <c r="I657" i="17"/>
  <c r="N657" i="17" s="1"/>
  <c r="I658" i="17"/>
  <c r="N658" i="17" s="1"/>
  <c r="I659" i="17"/>
  <c r="N659" i="17" s="1"/>
  <c r="I660" i="17"/>
  <c r="N660" i="17" s="1"/>
  <c r="I661" i="17"/>
  <c r="N661" i="17" s="1"/>
  <c r="I662" i="17"/>
  <c r="I663" i="17"/>
  <c r="I664" i="17"/>
  <c r="I665" i="17"/>
  <c r="N665" i="17" s="1"/>
  <c r="I666" i="17"/>
  <c r="N666" i="17" s="1"/>
  <c r="I667" i="17"/>
  <c r="N667" i="17" s="1"/>
  <c r="I668" i="17"/>
  <c r="N668" i="17" s="1"/>
  <c r="I669" i="17"/>
  <c r="N669" i="17" s="1"/>
  <c r="I670" i="17"/>
  <c r="N670" i="17" s="1"/>
  <c r="I671" i="17"/>
  <c r="N671" i="17" s="1"/>
  <c r="I672" i="17"/>
  <c r="N672" i="17" s="1"/>
  <c r="I673" i="17"/>
  <c r="I674" i="17"/>
  <c r="N674" i="17" s="1"/>
  <c r="I675" i="17"/>
  <c r="N675" i="17" s="1"/>
  <c r="I676" i="17"/>
  <c r="N676" i="17" s="1"/>
  <c r="I677" i="17"/>
  <c r="I678" i="17"/>
  <c r="N678" i="17" s="1"/>
  <c r="I679" i="17"/>
  <c r="N679" i="17" s="1"/>
  <c r="I680" i="17"/>
  <c r="N680" i="17" s="1"/>
  <c r="I681" i="17"/>
  <c r="N681" i="17" s="1"/>
  <c r="I682" i="17"/>
  <c r="N682" i="17" s="1"/>
  <c r="I683" i="17"/>
  <c r="N683" i="17" s="1"/>
  <c r="I684" i="17"/>
  <c r="N684" i="17" s="1"/>
  <c r="I685" i="17"/>
  <c r="N685" i="17" s="1"/>
  <c r="I686" i="17"/>
  <c r="I687" i="17"/>
  <c r="I688" i="17"/>
  <c r="N688" i="17" s="1"/>
  <c r="I689" i="17"/>
  <c r="N689" i="17" s="1"/>
  <c r="I690" i="17"/>
  <c r="N690" i="17" s="1"/>
  <c r="I691" i="17"/>
  <c r="N691" i="17" s="1"/>
  <c r="I692" i="17"/>
  <c r="N692" i="17" s="1"/>
  <c r="I693" i="17"/>
  <c r="N693" i="17" s="1"/>
  <c r="I694" i="17"/>
  <c r="N694" i="17" s="1"/>
  <c r="I695" i="17"/>
  <c r="N695" i="17" s="1"/>
  <c r="I696" i="17"/>
  <c r="N696" i="17" s="1"/>
  <c r="I697" i="17"/>
  <c r="I698" i="17"/>
  <c r="I699" i="17"/>
  <c r="I700" i="17"/>
  <c r="I701" i="17"/>
  <c r="N701" i="17" s="1"/>
  <c r="I702" i="17"/>
  <c r="N702" i="17" s="1"/>
  <c r="I703" i="17"/>
  <c r="N703" i="17" s="1"/>
  <c r="I704" i="17"/>
  <c r="N704" i="17" s="1"/>
  <c r="I705" i="17"/>
  <c r="I706" i="17"/>
  <c r="N706" i="17" s="1"/>
  <c r="I707" i="17"/>
  <c r="N707" i="17" s="1"/>
  <c r="I708" i="17"/>
  <c r="N708" i="17" s="1"/>
  <c r="I709" i="17"/>
  <c r="N709" i="17" s="1"/>
  <c r="I710" i="17"/>
  <c r="N710" i="17" s="1"/>
  <c r="I711" i="17"/>
  <c r="N711" i="17" s="1"/>
  <c r="I712" i="17"/>
  <c r="N712" i="17" s="1"/>
  <c r="I713" i="17"/>
  <c r="I714" i="17"/>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I726" i="17"/>
  <c r="I727" i="17"/>
  <c r="I728" i="17"/>
  <c r="I729" i="17"/>
  <c r="N729" i="17" s="1"/>
  <c r="I730" i="17"/>
  <c r="N730" i="17" s="1"/>
  <c r="I731" i="17"/>
  <c r="N731" i="17" s="1"/>
  <c r="I732" i="17"/>
  <c r="N732" i="17" s="1"/>
  <c r="I733" i="17"/>
  <c r="N733" i="17" s="1"/>
  <c r="I734" i="17"/>
  <c r="N734" i="17" s="1"/>
  <c r="I735" i="17"/>
  <c r="N735" i="17" s="1"/>
  <c r="I736" i="17"/>
  <c r="N736" i="17" s="1"/>
  <c r="I737" i="17"/>
  <c r="N737" i="17" s="1"/>
  <c r="I738" i="17"/>
  <c r="I739" i="17"/>
  <c r="N739" i="17" s="1"/>
  <c r="I740" i="17"/>
  <c r="N740" i="17" s="1"/>
  <c r="I741" i="17"/>
  <c r="N741" i="17" s="1"/>
  <c r="I742" i="17"/>
  <c r="N742" i="17" s="1"/>
  <c r="I743" i="17"/>
  <c r="N743" i="17" s="1"/>
  <c r="I744" i="17"/>
  <c r="N744" i="17" s="1"/>
  <c r="I745" i="17"/>
  <c r="I746" i="17"/>
  <c r="I747" i="17"/>
  <c r="I748" i="17"/>
  <c r="I749" i="17"/>
  <c r="I750" i="17"/>
  <c r="N750" i="17" s="1"/>
  <c r="I751" i="17"/>
  <c r="N751" i="17" s="1"/>
  <c r="I752" i="17"/>
  <c r="I753" i="17"/>
  <c r="N753" i="17" s="1"/>
  <c r="I754" i="17"/>
  <c r="N754" i="17" s="1"/>
  <c r="I755" i="17"/>
  <c r="N755" i="17" s="1"/>
  <c r="I756" i="17"/>
  <c r="N756" i="17" s="1"/>
  <c r="I757" i="17"/>
  <c r="N757" i="17" s="1"/>
  <c r="I758" i="17"/>
  <c r="N758" i="17" s="1"/>
  <c r="I759" i="17"/>
  <c r="N759" i="17" s="1"/>
  <c r="I760" i="17"/>
  <c r="I761" i="17"/>
  <c r="I762" i="17"/>
  <c r="I763" i="17"/>
  <c r="N763" i="17" s="1"/>
  <c r="I764" i="17"/>
  <c r="N764" i="17" s="1"/>
  <c r="I765" i="17"/>
  <c r="N765" i="17" s="1"/>
  <c r="I766" i="17"/>
  <c r="N766" i="17" s="1"/>
  <c r="I767" i="17"/>
  <c r="N767" i="17" s="1"/>
  <c r="I768" i="17"/>
  <c r="N768" i="17" s="1"/>
  <c r="I769" i="17"/>
  <c r="I770" i="17"/>
  <c r="N770" i="17" s="1"/>
  <c r="I771" i="17"/>
  <c r="I772" i="17"/>
  <c r="I773" i="17"/>
  <c r="N773" i="17" s="1"/>
  <c r="I774" i="17"/>
  <c r="N774" i="17" s="1"/>
  <c r="I775" i="17"/>
  <c r="N775" i="17" s="1"/>
  <c r="I776" i="17"/>
  <c r="N776" i="17" s="1"/>
  <c r="I777" i="17"/>
  <c r="N777" i="17" s="1"/>
  <c r="I778" i="17"/>
  <c r="N778" i="17" s="1"/>
  <c r="I779" i="17"/>
  <c r="N779" i="17" s="1"/>
  <c r="I780" i="17"/>
  <c r="N780" i="17" s="1"/>
  <c r="I781" i="17"/>
  <c r="I782" i="17"/>
  <c r="I783" i="17"/>
  <c r="N783" i="17" s="1"/>
  <c r="I784" i="17"/>
  <c r="I785" i="17"/>
  <c r="I786" i="17"/>
  <c r="I787" i="17"/>
  <c r="N787" i="17" s="1"/>
  <c r="I788" i="17"/>
  <c r="N788" i="17" s="1"/>
  <c r="I789" i="17"/>
  <c r="N789" i="17" s="1"/>
  <c r="I790" i="17"/>
  <c r="N790" i="17" s="1"/>
  <c r="I791" i="17"/>
  <c r="N791" i="17" s="1"/>
  <c r="I792" i="17"/>
  <c r="N792" i="17" s="1"/>
  <c r="I793" i="17"/>
  <c r="N793" i="17" s="1"/>
  <c r="I794" i="17"/>
  <c r="N794" i="17" s="1"/>
  <c r="I795" i="17"/>
  <c r="I796" i="17"/>
  <c r="N796" i="17" s="1"/>
  <c r="I797" i="17"/>
  <c r="I798" i="17"/>
  <c r="I799" i="17"/>
  <c r="N799" i="17" s="1"/>
  <c r="I800" i="17"/>
  <c r="N800" i="17" s="1"/>
  <c r="I801" i="17"/>
  <c r="N801" i="17" s="1"/>
  <c r="I802" i="17"/>
  <c r="N802" i="17" s="1"/>
  <c r="I803" i="17"/>
  <c r="N803" i="17" s="1"/>
  <c r="I804" i="17"/>
  <c r="N804" i="17" s="1"/>
  <c r="I805" i="17"/>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I820" i="17"/>
  <c r="I821" i="17"/>
  <c r="N821" i="17" s="1"/>
  <c r="I822" i="17"/>
  <c r="N822" i="17" s="1"/>
  <c r="I823" i="17"/>
  <c r="N823" i="17" s="1"/>
  <c r="I824" i="17"/>
  <c r="N824" i="17" s="1"/>
  <c r="I825" i="17"/>
  <c r="N825" i="17" s="1"/>
  <c r="I826" i="17"/>
  <c r="N826" i="17" s="1"/>
  <c r="I827" i="17"/>
  <c r="N827" i="17" s="1"/>
  <c r="I828" i="17"/>
  <c r="N828" i="17" s="1"/>
  <c r="I829" i="17"/>
  <c r="I830" i="17"/>
  <c r="I831" i="17"/>
  <c r="I832" i="17"/>
  <c r="I833" i="17"/>
  <c r="I834" i="17"/>
  <c r="I835" i="17"/>
  <c r="N835" i="17" s="1"/>
  <c r="I836" i="17"/>
  <c r="N836" i="17" s="1"/>
  <c r="I837" i="17"/>
  <c r="N837" i="17" s="1"/>
  <c r="I838" i="17"/>
  <c r="N838" i="17" s="1"/>
  <c r="I839" i="17"/>
  <c r="N839" i="17" s="1"/>
  <c r="I840" i="17"/>
  <c r="N840" i="17" s="1"/>
  <c r="I841" i="17"/>
  <c r="I842" i="17"/>
  <c r="N842" i="17" s="1"/>
  <c r="I843" i="17"/>
  <c r="N843" i="17" s="1"/>
  <c r="I844" i="17"/>
  <c r="N844" i="17" s="1"/>
  <c r="I845" i="17"/>
  <c r="I846" i="17"/>
  <c r="I847" i="17"/>
  <c r="N847" i="17" s="1"/>
  <c r="I848" i="17"/>
  <c r="N848" i="17" s="1"/>
  <c r="I849" i="17"/>
  <c r="N849" i="17" s="1"/>
  <c r="I850" i="17"/>
  <c r="N850" i="17" s="1"/>
  <c r="I851" i="17"/>
  <c r="N851" i="17" s="1"/>
  <c r="I852" i="17"/>
  <c r="N852" i="17" s="1"/>
  <c r="I853" i="17"/>
  <c r="I854" i="17"/>
  <c r="I855" i="17"/>
  <c r="I856" i="17"/>
  <c r="N856" i="17" s="1"/>
  <c r="I857" i="17"/>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I870" i="17"/>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I882" i="17"/>
  <c r="I883" i="17"/>
  <c r="I884" i="17"/>
  <c r="N884" i="17" s="1"/>
  <c r="I885" i="17"/>
  <c r="N885" i="17" s="1"/>
  <c r="I886" i="17"/>
  <c r="N886" i="17" s="1"/>
  <c r="I887" i="17"/>
  <c r="N887" i="17" s="1"/>
  <c r="I888" i="17"/>
  <c r="N888" i="17" s="1"/>
  <c r="I889" i="17"/>
  <c r="I890" i="17"/>
  <c r="I891" i="17"/>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I904" i="17"/>
  <c r="I905" i="17"/>
  <c r="I906" i="17"/>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I918" i="17"/>
  <c r="I919" i="17"/>
  <c r="N919" i="17" s="1"/>
  <c r="I920" i="17"/>
  <c r="N920" i="17" s="1"/>
  <c r="I921" i="17"/>
  <c r="N921" i="17" s="1"/>
  <c r="I922" i="17"/>
  <c r="N922" i="17" s="1"/>
  <c r="I923" i="17"/>
  <c r="N923" i="17" s="1"/>
  <c r="I924" i="17"/>
  <c r="N924" i="17" s="1"/>
  <c r="I925" i="17"/>
  <c r="I926" i="17"/>
  <c r="I927" i="17"/>
  <c r="N927" i="17" s="1"/>
  <c r="I928" i="17"/>
  <c r="N928" i="17" s="1"/>
  <c r="I929" i="17"/>
  <c r="N929" i="17" s="1"/>
  <c r="I930" i="17"/>
  <c r="I931" i="17"/>
  <c r="I932" i="17"/>
  <c r="I933" i="17"/>
  <c r="N933" i="17" s="1"/>
  <c r="I934" i="17"/>
  <c r="N934" i="17" s="1"/>
  <c r="I935" i="17"/>
  <c r="N935" i="17" s="1"/>
  <c r="I936" i="17"/>
  <c r="N936" i="17" s="1"/>
  <c r="I937" i="17"/>
  <c r="N937" i="17" s="1"/>
  <c r="I938" i="17"/>
  <c r="I939" i="17"/>
  <c r="N939" i="17" s="1"/>
  <c r="I940" i="17"/>
  <c r="N940" i="17" s="1"/>
  <c r="I941" i="17"/>
  <c r="I942" i="17"/>
  <c r="I943" i="17"/>
  <c r="N943" i="17" s="1"/>
  <c r="I944" i="17"/>
  <c r="N944" i="17" s="1"/>
  <c r="I945" i="17"/>
  <c r="N945" i="17" s="1"/>
  <c r="I946" i="17"/>
  <c r="N946" i="17" s="1"/>
  <c r="I947" i="17"/>
  <c r="N947" i="17" s="1"/>
  <c r="I948" i="17"/>
  <c r="N948" i="17" s="1"/>
  <c r="I949" i="17"/>
  <c r="I950" i="17"/>
  <c r="N950" i="17" s="1"/>
  <c r="I951" i="17"/>
  <c r="N951" i="17" s="1"/>
  <c r="I952" i="17"/>
  <c r="I953" i="17"/>
  <c r="N953" i="17" s="1"/>
  <c r="I954" i="17"/>
  <c r="I955" i="17"/>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I974" i="17"/>
  <c r="I975" i="17"/>
  <c r="I976" i="17"/>
  <c r="I977" i="17"/>
  <c r="N977" i="17" s="1"/>
  <c r="I978" i="17"/>
  <c r="N978" i="17" s="1"/>
  <c r="I979" i="17"/>
  <c r="N979" i="17" s="1"/>
  <c r="I980" i="17"/>
  <c r="N980" i="17" s="1"/>
  <c r="I981" i="17"/>
  <c r="N981" i="17" s="1"/>
  <c r="I982" i="17"/>
  <c r="N982" i="17" s="1"/>
  <c r="I983" i="17"/>
  <c r="N983" i="17" s="1"/>
  <c r="I984" i="17"/>
  <c r="N984" i="17" s="1"/>
  <c r="I985" i="17"/>
  <c r="N985" i="17" s="1"/>
  <c r="I986" i="17"/>
  <c r="I987" i="17"/>
  <c r="N987" i="17" s="1"/>
  <c r="I988" i="17"/>
  <c r="N988" i="17" s="1"/>
  <c r="I989" i="17"/>
  <c r="I990" i="17"/>
  <c r="I991" i="17"/>
  <c r="N991" i="17" s="1"/>
  <c r="I992" i="17"/>
  <c r="N992" i="17" s="1"/>
  <c r="I993" i="17"/>
  <c r="N993" i="17" s="1"/>
  <c r="I994" i="17"/>
  <c r="N994" i="17" s="1"/>
  <c r="I995" i="17"/>
  <c r="N995" i="17" s="1"/>
  <c r="I996" i="17"/>
  <c r="N996" i="17" s="1"/>
  <c r="I997" i="17"/>
  <c r="N997" i="17" s="1"/>
  <c r="I998" i="17"/>
  <c r="N998" i="17" s="1"/>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<sst xmlns="http://schemas.openxmlformats.org/spreadsheetml/2006/main" count="11128" uniqueCount="6221">
  <si>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</si>
  <si>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</si>
  <si>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</si>
  <si>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</si>
  <si>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</si>
  <si>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</si>
  <si>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</si>
  <si>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</si>
  <si>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</si>
  <si>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</si>
  <si>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</si>
  <si>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</si>
  <si>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</si>
  <si>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</si>
  <si>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</si>
  <si>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</si>
  <si>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</si>
  <si>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</si>
  <si>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</si>
  <si>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</si>
  <si>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</si>
  <si>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</si>
  <si>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</si>
  <si>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</si>
  <si>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</si>
  <si>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</si>
  <si>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</si>
  <si>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</si>
  <si>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</si>
  <si>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</si>
  <si>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</si>
  <si>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</si>
  <si>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</si>
  <si>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</si>
  <si>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</si>
  <si>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</si>
  <si>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</si>
  <si>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</si>
  <si>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</si>
  <si>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</si>
  <si>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</si>
  <si>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</si>
  <si>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</si>
  <si>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</si>
  <si>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</si>
  <si>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</si>
  <si>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</si>
  <si>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</si>
  <si>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</si>
  <si>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</si>
  <si>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</si>
  <si>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</si>
  <si>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</si>
  <si>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</si>
  <si>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</si>
  <si>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</si>
  <si>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</si>
  <si>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</si>
  <si>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</si>
  <si>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</si>
  <si>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</si>
  <si>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</si>
  <si>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</si>
  <si>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</si>
  <si>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</si>
  <si>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</si>
  <si>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</si>
  <si>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</si>
  <si>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</si>
  <si>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</si>
  <si>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</si>
  <si>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</si>
  <si>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</si>
  <si>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</si>
  <si>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</si>
  <si>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</si>
  <si>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</si>
  <si>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</si>
  <si>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</si>
  <si>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</si>
  <si>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</si>
  <si>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</si>
  <si>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</si>
  <si>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</si>
  <si>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</si>
  <si>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</si>
  <si>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</si>
  <si>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</si>
  <si>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</si>
  <si>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</si>
  <si>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</si>
  <si>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</si>
  <si>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</si>
  <si>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</si>
  <si>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</si>
  <si>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</si>
  <si>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</si>
  <si>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</si>
  <si>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</si>
  <si>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</si>
  <si>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</si>
  <si>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</si>
  <si>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</si>
  <si>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</si>
  <si>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</si>
  <si>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</si>
  <si>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</si>
  <si>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</si>
  <si>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</si>
  <si>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</si>
  <si>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</si>
  <si>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</si>
  <si>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</si>
  <si>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</si>
  <si>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</si>
  <si>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</si>
  <si>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</si>
  <si>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</si>
  <si>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</si>
  <si>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</si>
  <si>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</si>
  <si>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</si>
  <si>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</si>
  <si>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</si>
  <si>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</si>
  <si>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</si>
  <si>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</si>
  <si>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</si>
  <si>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</si>
  <si>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</si>
  <si>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</si>
  <si>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</si>
  <si>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</si>
  <si>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</si>
  <si>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</si>
  <si>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</si>
  <si>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</si>
  <si>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</si>
  <si>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</si>
  <si>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</si>
  <si>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</si>
  <si>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</si>
  <si>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</si>
  <si>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</si>
  <si>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</si>
  <si>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</si>
  <si>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</si>
  <si>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</si>
  <si>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</si>
  <si>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</si>
  <si>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</si>
  <si>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</si>
  <si>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</si>
  <si>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</si>
  <si>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</si>
  <si>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</si>
  <si>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</si>
  <si>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</si>
  <si>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</si>
  <si>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</si>
  <si>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</si>
  <si>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</si>
  <si>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</si>
  <si>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</si>
  <si>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</si>
  <si>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</si>
  <si>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</si>
  <si>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</si>
  <si>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</si>
  <si>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</si>
  <si>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</si>
  <si>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</si>
  <si>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</si>
  <si>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</si>
  <si>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</si>
  <si>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</si>
  <si>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</si>
  <si>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</si>
  <si>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</si>
  <si>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</si>
  <si>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</si>
  <si>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</si>
  <si>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</si>
  <si>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</si>
  <si>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</si>
  <si>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</si>
  <si>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</si>
  <si>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</si>
  <si>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</si>
  <si>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</si>
  <si>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</si>
  <si>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</si>
  <si>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</si>
  <si>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</si>
  <si>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</si>
  <si>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</si>
  <si>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</si>
  <si>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</si>
  <si>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</si>
  <si>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</si>
  <si>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</si>
  <si>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</si>
  <si>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</si>
  <si>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</si>
  <si>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</si>
  <si>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</si>
  <si>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</si>
  <si>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</si>
  <si>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</si>
  <si>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</si>
  <si>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</si>
  <si>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</si>
  <si>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</si>
  <si>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</si>
  <si>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</si>
  <si>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</si>
  <si>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</si>
  <si>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</si>
  <si>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</si>
  <si>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</si>
  <si>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</si>
  <si>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</si>
  <si>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</si>
  <si>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</si>
  <si>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</si>
  <si>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</si>
  <si>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</si>
  <si>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</si>
  <si>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</si>
  <si>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</si>
  <si>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</si>
  <si>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</si>
  <si>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</si>
  <si>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</si>
  <si>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</si>
  <si>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</si>
  <si>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</si>
  <si>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</si>
  <si>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</si>
  <si>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</si>
  <si>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</si>
  <si>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</si>
  <si>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</si>
  <si>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</si>
  <si>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</si>
  <si>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</si>
  <si>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</si>
  <si>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</si>
  <si>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</si>
  <si>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</si>
  <si>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</si>
  <si>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</si>
  <si>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</si>
  <si>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</si>
  <si>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</si>
  <si>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</si>
  <si>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</si>
  <si>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</si>
  <si>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</si>
  <si>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</si>
  <si>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</si>
  <si>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</si>
  <si>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</si>
  <si>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</si>
  <si>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</si>
  <si>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</si>
  <si>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</si>
  <si>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</si>
  <si>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</si>
  <si>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</si>
  <si>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</si>
  <si>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</si>
  <si>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</si>
  <si>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</si>
  <si>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</si>
  <si>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</si>
  <si>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</si>
  <si>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</si>
  <si>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</si>
  <si>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</si>
  <si>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</si>
  <si>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</si>
  <si>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</si>
  <si>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</si>
  <si>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</si>
  <si>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</si>
  <si>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</si>
  <si>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</si>
  <si>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</si>
  <si>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</si>
  <si>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</si>
  <si>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</si>
  <si>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</si>
  <si>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</si>
  <si>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</si>
  <si>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</si>
  <si>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</si>
  <si>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</si>
  <si>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</si>
  <si>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</si>
  <si>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</si>
  <si>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</si>
  <si>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</si>
  <si>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</si>
  <si>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</si>
  <si>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</si>
  <si>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</si>
  <si>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</si>
  <si>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</si>
  <si>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</si>
  <si>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</si>
  <si>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</si>
  <si>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</si>
  <si>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</si>
  <si>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</si>
  <si>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</si>
  <si>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</si>
  <si>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</si>
  <si>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</si>
  <si>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</si>
  <si>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</si>
  <si>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</si>
  <si>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</si>
  <si>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</si>
  <si>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</si>
  <si>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</si>
  <si>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</si>
  <si>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</si>
  <si>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</si>
  <si>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</si>
  <si>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</si>
  <si>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</si>
  <si>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</si>
  <si>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</si>
  <si>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</si>
  <si>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</si>
  <si>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</si>
  <si>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</si>
  <si>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</si>
  <si>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</si>
  <si>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</si>
  <si>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</si>
  <si>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</si>
  <si>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</si>
  <si>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</si>
  <si>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</si>
  <si>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</si>
  <si>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</si>
  <si>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</si>
  <si>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</si>
  <si>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</si>
  <si>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</si>
  <si>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</si>
  <si>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</si>
  <si>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</si>
  <si>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</si>
  <si>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</si>
  <si>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</si>
  <si>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</si>
  <si>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</si>
  <si>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</si>
  <si>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</si>
  <si>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</si>
  <si>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</si>
  <si>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</si>
  <si>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</si>
  <si>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</si>
  <si>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</si>
  <si>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</si>
  <si>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</si>
  <si>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</si>
  <si>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</si>
  <si>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</si>
  <si>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</si>
  <si>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</si>
  <si>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</si>
  <si>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</si>
  <si>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</si>
  <si>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</si>
  <si>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</si>
  <si>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</si>
  <si>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</si>
  <si>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</si>
  <si>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</si>
  <si>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</si>
  <si>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</si>
  <si>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</si>
  <si>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</si>
  <si>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</si>
  <si>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</si>
  <si>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</si>
  <si>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</si>
  <si>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</si>
  <si>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</si>
  <si>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</si>
  <si>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</si>
  <si>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</si>
  <si>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</si>
  <si>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</si>
  <si>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</si>
  <si>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</si>
  <si>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</si>
  <si>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</si>
  <si>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</si>
  <si>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</si>
  <si>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</si>
  <si>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</si>
  <si>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</si>
  <si>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</si>
  <si>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</si>
  <si>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</si>
  <si>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</si>
  <si>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</si>
  <si>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</si>
  <si>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</si>
  <si>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</si>
  <si>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</si>
  <si>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</si>
  <si>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</si>
  <si>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</si>
  <si>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</si>
  <si>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</si>
  <si>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</si>
  <si>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</si>
  <si>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</si>
  <si>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</si>
  <si>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</si>
  <si>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</si>
  <si>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</si>
  <si>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</si>
  <si>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</si>
  <si>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</si>
  <si>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</si>
  <si>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</si>
  <si>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</si>
  <si>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</si>
  <si>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</si>
  <si>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</si>
  <si>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</si>
  <si>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</si>
  <si>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</si>
  <si>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</si>
  <si>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</si>
  <si>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</si>
  <si>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</si>
  <si>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</si>
  <si>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</si>
  <si>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</si>
  <si>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</si>
  <si>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</si>
  <si>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</si>
  <si>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</si>
  <si>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</si>
  <si>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</si>
  <si>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</si>
  <si>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</si>
  <si>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</si>
  <si>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</si>
  <si>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</si>
  <si>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</si>
  <si>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</si>
  <si>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</si>
  <si>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</si>
  <si>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</si>
  <si>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</si>
  <si>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</si>
  <si>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</si>
  <si>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</si>
  <si>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</si>
  <si>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</si>
  <si>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</si>
  <si>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</si>
  <si>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</si>
  <si>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</si>
  <si>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</si>
  <si>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</si>
  <si>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</si>
  <si>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</si>
  <si>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</si>
  <si>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</si>
  <si>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</si>
  <si>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</si>
  <si>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</si>
  <si>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</si>
  <si>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</si>
  <si>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</si>
  <si>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</si>
  <si>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</si>
  <si>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</si>
  <si>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</si>
  <si>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</si>
  <si>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</si>
  <si>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</si>
  <si>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</si>
  <si>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</si>
  <si>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</si>
  <si>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</si>
  <si>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</si>
  <si>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</si>
  <si>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</si>
  <si>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</si>
  <si>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</si>
  <si>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</si>
  <si>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</si>
  <si>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</si>
  <si>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</si>
  <si>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</si>
  <si>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</si>
  <si>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</si>
  <si>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</si>
  <si>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</si>
  <si>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</si>
  <si>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</si>
  <si>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</si>
  <si>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</si>
  <si>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</si>
  <si>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</si>
  <si>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</si>
  <si>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</si>
  <si>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</si>
  <si>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</si>
  <si>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</si>
  <si>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</si>
  <si>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</si>
  <si>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</si>
  <si>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</si>
  <si>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</si>
  <si>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</si>
  <si>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</si>
  <si>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</si>
  <si>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</si>
  <si>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</si>
  <si>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</si>
  <si>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</si>
  <si>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</si>
  <si>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</si>
  <si>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</si>
  <si>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</si>
  <si>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</si>
  <si>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</si>
  <si>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</si>
  <si>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</si>
  <si>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</si>
  <si>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</si>
  <si>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</si>
  <si>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</si>
  <si>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</si>
  <si>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</si>
  <si>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</si>
  <si>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</si>
  <si>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</si>
  <si>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</si>
  <si>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</si>
  <si>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</si>
  <si>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</si>
  <si>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</si>
  <si>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</si>
  <si>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</si>
  <si>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</si>
  <si>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</si>
  <si>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</si>
  <si>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</si>
  <si>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</si>
  <si>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</si>
  <si>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</si>
  <si>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</si>
  <si>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</si>
  <si>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</si>
  <si>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</si>
  <si>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</si>
  <si>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</si>
  <si>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</si>
  <si>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</si>
  <si>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</si>
  <si>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</si>
  <si>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</si>
  <si>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</si>
  <si>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</si>
  <si>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</si>
  <si>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</si>
  <si>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</si>
  <si>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</si>
  <si>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</si>
  <si>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</si>
  <si>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</si>
  <si>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</si>
  <si>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</si>
  <si>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</si>
  <si>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</si>
  <si>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</si>
  <si>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</si>
  <si>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</si>
  <si>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</si>
  <si>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</si>
  <si>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</si>
  <si>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</si>
  <si>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</si>
  <si>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</si>
  <si>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</si>
  <si>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</si>
  <si>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</si>
  <si>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</si>
  <si>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</si>
  <si>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</si>
  <si>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</si>
  <si>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</si>
  <si>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</si>
  <si>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</si>
  <si>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</si>
  <si>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</si>
  <si>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</si>
  <si>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</si>
  <si>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</si>
  <si>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</si>
  <si>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</si>
  <si>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</si>
  <si>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</si>
  <si>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</si>
  <si>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</si>
  <si>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</si>
  <si>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</si>
  <si>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</si>
  <si>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</si>
  <si>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</si>
  <si>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</si>
  <si>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</si>
  <si>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</si>
  <si>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</si>
  <si>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</si>
  <si>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</si>
  <si>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</si>
  <si>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</si>
  <si>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</si>
  <si>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</si>
  <si>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</si>
  <si>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</si>
  <si>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</si>
  <si>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</si>
  <si>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</si>
  <si>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</si>
  <si>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</si>
  <si>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</si>
  <si>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</si>
  <si>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</si>
  <si>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</si>
  <si>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</si>
  <si>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</si>
  <si>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</si>
  <si>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</si>
  <si>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</si>
  <si>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</si>
  <si>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</si>
  <si>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</si>
  <si>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</si>
  <si>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</si>
  <si>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</si>
  <si>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</si>
  <si>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</si>
  <si>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</si>
  <si>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</si>
  <si>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</si>
  <si>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</si>
  <si>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</si>
  <si>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</si>
  <si>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</si>
  <si>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</si>
  <si>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</si>
  <si>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</si>
  <si>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</si>
  <si>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</si>
  <si>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</si>
  <si>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</si>
  <si>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</si>
  <si>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</si>
  <si>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</si>
  <si>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</si>
  <si>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</si>
  <si>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</si>
  <si>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</si>
  <si>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</si>
  <si>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</si>
  <si>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</si>
  <si>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</si>
  <si>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</si>
  <si>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</si>
  <si>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</si>
  <si>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</si>
  <si>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</si>
  <si>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</si>
  <si>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</si>
  <si>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</si>
  <si>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</si>
  <si>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</si>
  <si>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</si>
  <si>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</si>
  <si>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</si>
  <si>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</si>
  <si>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</si>
  <si>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</si>
  <si>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</si>
  <si>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</si>
  <si>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</si>
  <si>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</si>
  <si>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</si>
  <si>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</si>
  <si>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</si>
  <si>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</si>
  <si>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</si>
  <si>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</si>
  <si>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</si>
  <si>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</si>
  <si>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</si>
  <si>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</si>
  <si>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</si>
  <si>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</si>
  <si>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</si>
  <si>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</si>
  <si>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</si>
  <si>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</si>
  <si>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</si>
  <si>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</si>
  <si>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</si>
  <si>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</si>
  <si>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</si>
  <si>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</si>
  <si>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</si>
  <si>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</si>
  <si>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</si>
  <si>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</si>
  <si>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</si>
  <si>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</si>
  <si>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</si>
  <si>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</si>
  <si>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</si>
  <si>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</si>
  <si>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</si>
  <si>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</si>
  <si>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</si>
  <si>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</si>
  <si>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</si>
  <si>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</si>
  <si>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</si>
  <si>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</si>
  <si>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</si>
  <si>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</si>
  <si>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</si>
  <si>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</si>
  <si>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</si>
  <si>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</si>
  <si>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</si>
  <si>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</si>
  <si>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</si>
  <si>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</si>
  <si>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</si>
  <si>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</si>
  <si>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</si>
  <si>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</si>
  <si>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</si>
  <si>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</si>
  <si>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</si>
  <si>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</si>
  <si>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</si>
  <si>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</si>
  <si>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</si>
  <si>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</si>
  <si>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</si>
  <si>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</si>
  <si>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</si>
  <si>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</si>
  <si>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</si>
  <si>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</si>
  <si>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</si>
  <si>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</si>
  <si>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</si>
  <si>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</si>
  <si>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</si>
  <si>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</si>
  <si>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</si>
  <si>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</si>
  <si>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</si>
  <si>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</si>
  <si>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</si>
  <si>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</si>
  <si>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</si>
  <si>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</si>
  <si>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</si>
  <si>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</si>
  <si>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</si>
  <si>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</si>
  <si>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</si>
  <si>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</si>
  <si>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</si>
  <si>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</si>
  <si>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</si>
  <si>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</si>
  <si>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</si>
  <si>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</si>
  <si>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</si>
  <si>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</si>
  <si>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</si>
  <si>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</si>
  <si>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</si>
  <si>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</si>
  <si>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</si>
  <si>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</si>
  <si>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</si>
  <si>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</si>
  <si>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</si>
  <si>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</si>
  <si>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</si>
  <si>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</si>
  <si>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</si>
  <si>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</si>
  <si>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</si>
  <si>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</si>
  <si>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</si>
  <si>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</si>
  <si>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</si>
  <si>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</si>
  <si>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</si>
  <si>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</si>
  <si>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</si>
  <si>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</si>
  <si>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</si>
  <si>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</si>
  <si>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</si>
  <si>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</si>
  <si>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</si>
  <si>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</si>
  <si>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</si>
  <si>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</si>
  <si>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</si>
  <si>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</si>
  <si>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</si>
  <si>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</si>
  <si>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</si>
  <si>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</si>
  <si>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</si>
  <si>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</si>
  <si>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</si>
  <si>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</si>
  <si>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</si>
  <si>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</si>
  <si>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</si>
  <si>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</si>
  <si>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</si>
  <si>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</si>
  <si>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</si>
  <si>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</si>
  <si>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</si>
  <si>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</si>
  <si>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</si>
  <si>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</si>
  <si>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</si>
  <si>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</si>
  <si>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</si>
  <si>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</si>
  <si>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</si>
  <si>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</si>
  <si>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</si>
  <si>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</si>
  <si>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</si>
  <si>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</si>
  <si>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</si>
  <si>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</si>
  <si>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</si>
  <si>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</si>
  <si>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</si>
  <si>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</si>
  <si>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</si>
  <si>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</si>
  <si>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</si>
  <si>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</si>
  <si>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</si>
  <si>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</si>
  <si>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</si>
  <si>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</si>
  <si>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</si>
  <si>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</si>
  <si>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</si>
  <si>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</si>
  <si>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</si>
  <si>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</si>
  <si>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</si>
  <si>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</si>
  <si>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</si>
  <si>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</si>
  <si>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</si>
  <si>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</si>
  <si>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</si>
  <si>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</si>
  <si>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</si>
  <si>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</si>
  <si>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</si>
  <si>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</si>
  <si>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</si>
  <si>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</si>
  <si>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</si>
  <si>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</si>
  <si>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</si>
  <si>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</si>
  <si>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</si>
  <si>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</si>
  <si>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</si>
  <si>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</si>
  <si>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</si>
  <si>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</si>
  <si>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</si>
  <si>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</si>
  <si>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</si>
  <si>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</si>
  <si>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</si>
  <si>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</si>
  <si>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</si>
  <si>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</si>
  <si>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</si>
  <si>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</si>
  <si>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</si>
  <si>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</si>
  <si>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</si>
  <si>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</si>
  <si>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</si>
  <si>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</si>
  <si>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</si>
  <si>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</si>
  <si>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</si>
  <si>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</si>
  <si>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</si>
  <si>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</si>
  <si>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</si>
  <si>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</si>
  <si>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</si>
  <si>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</si>
  <si>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</si>
  <si>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</si>
  <si>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</si>
  <si>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</si>
  <si>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</si>
  <si>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</si>
  <si>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</si>
  <si>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</si>
  <si>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</si>
  <si>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</si>
  <si>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</si>
  <si>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</si>
  <si>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</si>
  <si>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</si>
  <si>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</si>
  <si>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</si>
  <si>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</si>
  <si>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</si>
  <si>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</si>
  <si>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</si>
  <si>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</si>
  <si>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</si>
  <si>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</si>
  <si>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</si>
  <si>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</si>
  <si>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</si>
  <si>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</si>
  <si>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</si>
  <si>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</si>
  <si>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</si>
  <si>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</si>
  <si>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</si>
  <si>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</si>
  <si>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</si>
  <si>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</si>
  <si>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</si>
  <si>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</si>
  <si>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</si>
  <si>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</si>
  <si>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</si>
  <si>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</si>
  <si>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</si>
  <si>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</si>
  <si>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</si>
  <si>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</si>
  <si>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</si>
  <si>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</si>
  <si>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</si>
  <si>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</si>
  <si>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</si>
  <si>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</si>
  <si>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</si>
  <si>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</si>
  <si>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</si>
  <si>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</si>
  <si>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</si>
  <si>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</si>
  <si>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</si>
  <si>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</si>
  <si>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</si>
  <si>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</si>
  <si>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</si>
  <si>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</si>
  <si>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</si>
  <si>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</si>
  <si>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</si>
  <si>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</si>
  <si>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</si>
  <si>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</si>
  <si>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</si>
  <si>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</si>
  <si>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</si>
  <si>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</si>
  <si>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</si>
  <si>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</si>
  <si>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</si>
  <si>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</si>
  <si>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</si>
  <si>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</si>
  <si>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</si>
  <si>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</si>
  <si>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</si>
  <si>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</si>
  <si>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</si>
  <si>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</si>
  <si>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</si>
  <si>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</si>
  <si>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</si>
  <si>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</si>
  <si>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</si>
  <si>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</si>
  <si>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</si>
  <si>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</si>
  <si>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</si>
  <si>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</si>
  <si>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</si>
  <si>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</si>
  <si>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</si>
  <si>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</si>
  <si>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</si>
  <si>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</si>
  <si>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</si>
  <si>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</si>
  <si>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</si>
  <si>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</si>
  <si>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</si>
  <si>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</si>
  <si>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</si>
  <si>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</si>
  <si>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</si>
  <si>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</si>
  <si>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</si>
  <si>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</si>
  <si>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</si>
  <si>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</si>
  <si>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</si>
  <si>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</si>
  <si>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</si>
  <si>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</si>
  <si>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</si>
  <si>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</si>
  <si>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</si>
  <si>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</si>
  <si>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</si>
  <si>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</si>
  <si>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</si>
  <si>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</si>
  <si>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</si>
  <si>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</si>
  <si>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</si>
  <si>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</si>
  <si>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</si>
  <si>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</si>
  <si>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</si>
  <si>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</si>
  <si>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</si>
  <si>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</si>
  <si>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</si>
  <si>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</si>
  <si>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</si>
  <si>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</si>
  <si>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</si>
  <si>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</si>
  <si>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</si>
  <si>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</si>
  <si>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</si>
  <si>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</si>
  <si>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</si>
  <si>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</si>
  <si>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</si>
  <si>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</si>
  <si>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</si>
  <si>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</si>
  <si>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</si>
  <si>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</si>
  <si>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</si>
  <si>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</si>
  <si>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</si>
  <si>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</si>
  <si>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</si>
  <si>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</si>
  <si>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</si>
  <si>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</si>
  <si>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</si>
  <si>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</si>
  <si>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</si>
  <si>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</si>
  <si>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</si>
  <si>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</si>
  <si>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</si>
  <si>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</si>
  <si>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</si>
  <si>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</si>
  <si>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</si>
  <si>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</si>
  <si>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</si>
  <si>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</si>
  <si>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</si>
  <si>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</si>
  <si>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</si>
  <si>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</si>
  <si>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</si>
  <si>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</si>
  <si>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</si>
  <si>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</si>
  <si>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</si>
  <si>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</si>
  <si>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</si>
  <si>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</si>
  <si>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</si>
  <si>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</si>
  <si>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</si>
  <si>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</si>
  <si>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</si>
  <si>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</si>
  <si>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</si>
  <si>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</si>
  <si>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</si>
  <si>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</si>
  <si>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</si>
  <si>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</si>
  <si>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</si>
  <si>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</si>
  <si>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</si>
  <si>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</si>
  <si>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</si>
  <si>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</si>
  <si>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</si>
  <si>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</si>
  <si>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</si>
  <si>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</si>
  <si>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</si>
  <si>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</si>
  <si>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</si>
  <si>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</si>
  <si>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</si>
  <si>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</si>
  <si>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</si>
  <si>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</si>
  <si>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</si>
  <si>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</si>
  <si>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</si>
  <si>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</si>
  <si>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</si>
  <si>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</si>
  <si>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</si>
  <si>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</si>
  <si>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</si>
  <si>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</si>
  <si>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</si>
  <si>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</si>
  <si>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</si>
  <si>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</si>
  <si>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</si>
  <si>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</si>
  <si>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</si>
  <si>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</si>
  <si>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</si>
  <si>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</si>
  <si>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</si>
  <si>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</si>
  <si>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</si>
  <si>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</si>
  <si>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</si>
  <si>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</si>
  <si>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</si>
  <si>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</si>
  <si>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</si>
  <si>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</si>
  <si>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</si>
  <si>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</si>
  <si>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</si>
  <si>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</si>
  <si>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</si>
  <si>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</si>
  <si>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</si>
  <si>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</si>
  <si>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</si>
  <si>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</si>
  <si>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</si>
  <si>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</si>
  <si>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</si>
  <si>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</si>
  <si>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</si>
  <si>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</si>
  <si>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</si>
  <si>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</si>
  <si>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</si>
  <si>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</si>
  <si>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</si>
  <si>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</si>
  <si>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</si>
  <si>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</si>
  <si>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</si>
  <si>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</si>
  <si>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</si>
  <si>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</si>
  <si>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</si>
  <si>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</si>
  <si>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</si>
  <si>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</si>
  <si>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</si>
  <si>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</si>
  <si>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</si>
  <si>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</si>
  <si>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</si>
  <si>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</si>
  <si>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</si>
  <si>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</si>
  <si>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</si>
  <si>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</si>
  <si>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</si>
  <si>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</si>
  <si>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</si>
  <si>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</si>
  <si>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</si>
  <si>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</si>
  <si>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</si>
  <si>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</si>
  <si>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</si>
  <si>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</si>
  <si>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</si>
  <si>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</si>
  <si>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</si>
  <si>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</si>
  <si>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</si>
  <si>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</si>
  <si>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</si>
  <si>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</si>
  <si>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</si>
  <si>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</si>
  <si>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</si>
  <si>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</si>
  <si>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</si>
  <si>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</si>
  <si>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</si>
  <si>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</si>
  <si>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</si>
  <si>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</si>
  <si>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</si>
  <si>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</si>
  <si>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</si>
  <si>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</si>
  <si>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</si>
  <si>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</si>
  <si>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</si>
  <si>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</si>
  <si>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</si>
  <si>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</si>
  <si>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</si>
  <si>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</si>
  <si>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</si>
  <si>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</si>
  <si>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</si>
  <si>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</si>
  <si>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</si>
  <si>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</si>
  <si>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</si>
  <si>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</si>
  <si>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</si>
  <si>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</si>
  <si>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</si>
  <si>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</si>
  <si>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</si>
  <si>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</si>
  <si>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</si>
  <si>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</si>
  <si>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</si>
  <si>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</si>
  <si>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</si>
  <si>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</si>
  <si>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</si>
  <si>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</si>
  <si>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</si>
  <si>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</si>
  <si>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</si>
  <si>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</si>
  <si>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</si>
  <si>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</si>
  <si>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</si>
  <si>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</si>
  <si>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</si>
  <si>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</si>
  <si>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</si>
  <si>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</si>
  <si>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</si>
  <si>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</si>
  <si>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</si>
  <si>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</si>
  <si>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</si>
  <si>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</si>
  <si>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</si>
  <si>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</si>
  <si>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</si>
  <si>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</si>
  <si>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</si>
  <si>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</si>
  <si>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</si>
  <si>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</si>
  <si>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</si>
  <si>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</si>
  <si>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</si>
  <si>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</si>
  <si>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</si>
  <si>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</si>
  <si>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</si>
  <si>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</si>
  <si>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</si>
  <si>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</si>
  <si>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</si>
  <si>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</si>
  <si>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</si>
  <si>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</si>
  <si>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</si>
  <si>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</si>
  <si>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</si>
  <si>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</si>
  <si>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</si>
  <si>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</si>
  <si>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</si>
  <si>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</si>
  <si>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</si>
  <si>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</si>
  <si>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</si>
  <si>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</si>
  <si>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</si>
  <si>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</si>
  <si>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</si>
  <si>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</si>
  <si>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</si>
  <si>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</si>
  <si>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</si>
  <si>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</si>
  <si>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</si>
  <si>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</si>
  <si>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</si>
  <si>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</si>
  <si>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</si>
  <si>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</si>
  <si>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</si>
  <si>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</si>
  <si>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</si>
  <si>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</si>
  <si>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</si>
  <si>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</si>
  <si>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</si>
  <si>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</si>
  <si>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</si>
  <si>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</si>
  <si>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</si>
  <si>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</si>
  <si>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</si>
  <si>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</si>
  <si>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</si>
  <si>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</si>
  <si>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</si>
  <si>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</si>
  <si>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</si>
  <si>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</si>
  <si>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</si>
  <si>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</si>
  <si>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</si>
  <si>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</si>
  <si>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</si>
  <si>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</si>
  <si>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</si>
  <si>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</si>
  <si>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</si>
  <si>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</si>
  <si>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</si>
  <si>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</si>
  <si>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</si>
  <si>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</si>
  <si>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</si>
  <si>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</si>
  <si>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</si>
  <si>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</si>
  <si>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</si>
  <si>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</si>
  <si>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</si>
  <si>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</si>
  <si>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</si>
  <si>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</si>
  <si>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</si>
  <si>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</si>
  <si>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</si>
  <si>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</si>
  <si>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</si>
  <si>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</si>
  <si>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</si>
  <si>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</si>
  <si>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</si>
  <si>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</si>
  <si>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</si>
  <si>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</si>
  <si>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</si>
  <si>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</si>
  <si>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</si>
  <si>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</si>
  <si>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</si>
  <si>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</si>
  <si>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</si>
  <si>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</si>
  <si>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</si>
  <si>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</si>
  <si>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</si>
  <si>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</si>
  <si>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</si>
  <si>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</si>
  <si>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</si>
  <si>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</si>
  <si>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</si>
  <si>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</si>
  <si>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</si>
  <si>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</si>
  <si>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</si>
  <si>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</si>
  <si>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</si>
  <si>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</si>
  <si>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</si>
  <si>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</si>
  <si>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</si>
  <si>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</si>
  <si>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</si>
  <si>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</si>
  <si>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</si>
  <si>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</si>
  <si>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</si>
  <si>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</si>
  <si>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</si>
  <si>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</si>
  <si>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</si>
  <si>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</si>
  <si>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</si>
  <si>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</si>
  <si>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</si>
  <si>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</si>
  <si>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</si>
  <si>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</si>
  <si>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</si>
  <si>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</si>
  <si>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</si>
  <si>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</si>
  <si>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</si>
  <si>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</si>
  <si>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</si>
  <si>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</si>
  <si>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</si>
  <si>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</si>
  <si>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</si>
  <si>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</si>
  <si>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</si>
  <si>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</si>
  <si>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</si>
  <si>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</si>
  <si>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</si>
  <si>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</si>
  <si>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</si>
  <si>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</si>
  <si>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</si>
  <si>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</si>
  <si>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</si>
  <si>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</si>
  <si>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</si>
  <si>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</si>
  <si>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</si>
  <si>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</si>
  <si>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</si>
  <si>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</si>
  <si>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</si>
  <si>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</si>
  <si>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</si>
  <si>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</si>
  <si>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</si>
  <si>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</si>
  <si>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</si>
  <si>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</si>
  <si>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</si>
  <si>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</si>
  <si>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</si>
  <si>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</si>
  <si>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</si>
  <si>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</si>
  <si>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</si>
  <si>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</si>
  <si>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</si>
  <si>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</si>
  <si>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</si>
  <si>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</si>
  <si>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</si>
  <si>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</si>
  <si>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</si>
  <si>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</si>
  <si>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</si>
  <si>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</si>
  <si>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</si>
  <si>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</si>
  <si>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</si>
  <si>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</si>
  <si>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</si>
  <si>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</si>
  <si>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</si>
  <si>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</si>
  <si>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</si>
  <si>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</si>
  <si>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</si>
  <si>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</si>
  <si>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</si>
  <si>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</si>
  <si>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</si>
  <si>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</si>
  <si>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</si>
  <si>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</si>
  <si>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</si>
  <si>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</si>
  <si>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</si>
  <si>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</si>
  <si>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</si>
  <si>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</si>
  <si>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</si>
  <si>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</si>
  <si>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</si>
  <si>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</si>
  <si>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</si>
  <si>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</si>
  <si>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</si>
  <si>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</si>
  <si>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</si>
  <si>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</si>
  <si>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</si>
  <si>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</si>
  <si>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</si>
  <si>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</si>
  <si>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</si>
  <si>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</si>
  <si>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</si>
  <si>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</si>
  <si>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</si>
  <si>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</si>
  <si>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</si>
  <si>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</si>
  <si>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</si>
  <si>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</si>
  <si>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</si>
  <si>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</si>
  <si>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</si>
  <si>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</si>
  <si>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</si>
  <si>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</si>
  <si>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</si>
  <si>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</si>
  <si>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</si>
  <si>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</si>
  <si>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</si>
  <si>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</si>
  <si>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</si>
  <si>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</si>
  <si>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</si>
  <si>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</si>
  <si>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</si>
  <si>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</si>
  <si>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</si>
  <si>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</si>
  <si>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</si>
  <si>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</si>
  <si>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</si>
  <si>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</si>
  <si>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</si>
  <si>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</si>
  <si>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</si>
  <si>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</si>
  <si>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</si>
  <si>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</si>
  <si>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</si>
  <si>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</si>
  <si>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</si>
  <si>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</si>
  <si>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</si>
  <si>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</si>
  <si>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</si>
  <si>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</si>
  <si>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</si>
  <si>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</si>
  <si>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</si>
  <si>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</si>
  <si>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</si>
  <si>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</si>
  <si>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</si>
  <si>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</si>
  <si>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</si>
  <si>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</si>
  <si>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</si>
  <si>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</si>
  <si>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</si>
  <si>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</si>
  <si>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</si>
  <si>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</si>
  <si>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</si>
  <si>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</si>
  <si>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</si>
  <si>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</si>
  <si>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</si>
  <si>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</si>
  <si>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</si>
  <si>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</si>
  <si>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</si>
  <si>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</si>
  <si>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</si>
  <si>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</si>
  <si>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</si>
  <si>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</si>
  <si>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</si>
  <si>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</si>
  <si>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</si>
  <si>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</si>
  <si>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</si>
  <si>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</si>
  <si>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</si>
  <si>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</si>
  <si>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</si>
  <si>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</si>
  <si>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</si>
  <si>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</si>
  <si>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</si>
  <si>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</si>
  <si>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</si>
  <si>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</si>
  <si>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</si>
  <si>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</si>
  <si>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</si>
  <si>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</si>
  <si>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</si>
  <si>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</si>
  <si>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</si>
  <si>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</si>
  <si>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</si>
  <si>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</si>
  <si>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</si>
  <si>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</si>
  <si>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</si>
  <si>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</si>
  <si>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</si>
  <si>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</si>
  <si>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</si>
  <si>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</si>
  <si>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</si>
  <si>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</si>
  <si>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</si>
  <si>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</si>
  <si>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</si>
  <si>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</si>
  <si>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</si>
  <si>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</si>
  <si>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</si>
  <si>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</si>
  <si>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</si>
  <si>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</si>
  <si>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</si>
  <si>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</si>
  <si>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</si>
  <si>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</si>
  <si>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</si>
  <si>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</si>
  <si>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</si>
  <si>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</si>
  <si>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</si>
  <si>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</si>
  <si>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</si>
  <si>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</si>
  <si>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</si>
  <si>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</si>
  <si>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</si>
  <si>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</si>
  <si>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</si>
  <si>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</si>
  <si>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</si>
  <si>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</si>
  <si>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</si>
  <si>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</si>
  <si>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</si>
  <si>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</si>
  <si>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</si>
  <si>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</si>
  <si>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</si>
  <si>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</si>
  <si>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</si>
  <si>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</si>
  <si>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</si>
  <si>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</si>
  <si>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</si>
  <si>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</si>
  <si>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</si>
  <si>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</si>
  <si>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</si>
  <si>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</si>
  <si>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</si>
  <si>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</si>
  <si>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</si>
  <si>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</si>
  <si>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</si>
  <si>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</si>
  <si>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</si>
  <si>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</si>
  <si>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</si>
  <si>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</si>
  <si>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</si>
  <si>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</si>
  <si>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</si>
  <si>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</si>
  <si>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</si>
  <si>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</si>
  <si>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</si>
  <si>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</si>
  <si>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</si>
  <si>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</si>
  <si>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</si>
  <si>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</si>
  <si>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</si>
  <si>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</si>
  <si>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</si>
  <si>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</si>
  <si>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</si>
  <si>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</si>
  <si>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</si>
  <si>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</si>
  <si>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</si>
  <si>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</si>
  <si>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</si>
  <si>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</si>
  <si>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</si>
  <si>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</si>
  <si>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</si>
  <si>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</si>
  <si>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</si>
  <si>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</si>
  <si>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</si>
  <si>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</si>
  <si>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</si>
  <si>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</si>
  <si>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</si>
  <si>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</si>
  <si>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</si>
  <si>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</si>
  <si>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</si>
  <si>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</si>
  <si>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</si>
  <si>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</si>
  <si>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</si>
  <si>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</si>
  <si>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</si>
  <si>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</si>
  <si>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</si>
  <si>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</si>
  <si>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</si>
  <si>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</si>
  <si>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</si>
  <si>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</si>
  <si>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</si>
  <si>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</si>
  <si>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</si>
  <si>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</si>
  <si>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</si>
  <si>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</si>
  <si>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</si>
  <si>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</si>
  <si>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</si>
  <si>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</si>
  <si>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</si>
  <si>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</si>
  <si>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</si>
  <si>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</si>
  <si>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</si>
  <si>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</si>
  <si>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</si>
  <si>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</si>
  <si>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</si>
  <si>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</si>
  <si>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</si>
  <si>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</si>
  <si>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</si>
  <si>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</si>
  <si>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</si>
  <si>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</si>
  <si>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</si>
  <si>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</si>
  <si>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</si>
  <si>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</si>
  <si>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</si>
  <si>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</si>
  <si>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</si>
  <si>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</si>
  <si>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</si>
  <si>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</si>
  <si>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</si>
  <si>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</si>
  <si>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</si>
  <si>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</si>
  <si>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</si>
  <si>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</si>
  <si>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</si>
  <si>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</si>
  <si>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</si>
  <si>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</si>
  <si>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</si>
  <si>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</si>
  <si>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</si>
  <si>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</si>
  <si>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</si>
  <si>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</si>
  <si>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</si>
  <si>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</si>
  <si>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</si>
  <si>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</si>
  <si>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</si>
  <si>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</si>
  <si>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</si>
  <si>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</si>
  <si>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</si>
  <si>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</si>
  <si>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</si>
  <si>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</si>
  <si>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</si>
  <si>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</si>
  <si>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</si>
  <si>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</si>
  <si>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</si>
  <si>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</si>
  <si>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</si>
  <si>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</si>
  <si>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</si>
  <si>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</si>
  <si>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</si>
  <si>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</si>
  <si>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</si>
  <si>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</si>
  <si>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</si>
  <si>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</si>
  <si>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</si>
  <si>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</si>
  <si>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</si>
  <si>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</si>
  <si>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</si>
  <si>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</si>
  <si>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</si>
  <si>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</si>
  <si>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</si>
  <si>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</si>
  <si>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</si>
  <si>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</si>
  <si>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</si>
  <si>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</si>
  <si>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</si>
  <si>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</si>
  <si>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</si>
  <si>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</si>
  <si>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</si>
  <si>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</si>
  <si>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</si>
  <si>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</si>
  <si>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</si>
  <si>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</si>
  <si>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</si>
  <si>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</si>
  <si>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</si>
  <si>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</si>
  <si>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</si>
  <si>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</si>
  <si>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</si>
  <si>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</si>
  <si>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</si>
  <si>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</si>
  <si>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</si>
  <si>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</si>
  <si>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</si>
  <si>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</si>
  <si>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</si>
  <si>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</si>
  <si>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</si>
  <si>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</si>
  <si>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</si>
  <si>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</si>
  <si>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</si>
  <si>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</si>
  <si>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</si>
  <si>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</si>
  <si>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</si>
  <si>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</si>
  <si>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</si>
  <si>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</si>
  <si>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</si>
  <si>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</si>
  <si>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</si>
  <si>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</si>
  <si>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</si>
  <si>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</si>
  <si>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</si>
  <si>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</si>
  <si>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</si>
  <si>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</si>
  <si>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</si>
  <si>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</si>
  <si>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</si>
  <si>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</si>
  <si>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</si>
  <si>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</si>
  <si>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</si>
  <si>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</si>
  <si>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</si>
  <si>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</si>
  <si>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</si>
  <si>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</si>
  <si>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</si>
  <si>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</si>
  <si>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</si>
  <si>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</si>
  <si>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</si>
  <si>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</si>
  <si>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</si>
  <si>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</si>
  <si>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</si>
  <si>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</si>
  <si>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</si>
  <si>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</si>
  <si>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</si>
  <si>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</si>
  <si>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</si>
  <si>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</si>
  <si>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</si>
  <si>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</si>
  <si>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</si>
  <si>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</si>
  <si>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</si>
  <si>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</si>
  <si>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</si>
  <si>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</si>
  <si>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</si>
  <si>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</si>
  <si>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</si>
  <si>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</si>
  <si>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</si>
  <si>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</si>
  <si>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</si>
  <si>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</si>
  <si>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</si>
  <si>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</si>
  <si>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</si>
  <si>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</si>
  <si>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</si>
  <si>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</si>
  <si>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</si>
  <si>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</si>
  <si>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</si>
  <si>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</si>
  <si>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</si>
  <si>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</si>
  <si>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</si>
  <si>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</si>
  <si>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</si>
  <si>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</si>
  <si>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</si>
  <si>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</si>
  <si>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</si>
  <si>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</si>
  <si>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</si>
  <si>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</si>
  <si>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</si>
  <si>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</si>
  <si>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</si>
  <si>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</si>
  <si>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</si>
  <si>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</si>
  <si>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</si>
  <si>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</si>
  <si>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</si>
  <si>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</si>
  <si>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</si>
  <si>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</si>
  <si>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</si>
  <si>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</si>
  <si>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</si>
  <si>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</si>
  <si>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</si>
  <si>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</si>
  <si>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</si>
  <si>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</si>
  <si>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</si>
  <si>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</si>
  <si>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</si>
  <si>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</si>
  <si>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</si>
  <si>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</si>
  <si>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</si>
  <si>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</si>
  <si>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</si>
  <si>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</si>
  <si>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</si>
  <si>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</si>
  <si>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</si>
  <si>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</si>
  <si>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</si>
  <si>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</si>
  <si>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</si>
  <si>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</si>
  <si>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</si>
  <si>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</si>
  <si>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</si>
  <si>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</si>
  <si>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</si>
  <si>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</si>
  <si>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</si>
  <si>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</si>
  <si>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</si>
  <si>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</si>
  <si>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</si>
  <si>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</si>
  <si>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</si>
  <si>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</si>
  <si>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</si>
  <si>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</si>
  <si>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</si>
  <si>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</si>
  <si>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</si>
  <si>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</si>
  <si>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</si>
  <si>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</si>
  <si>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</si>
  <si>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</si>
  <si>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</si>
  <si>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</si>
  <si>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</si>
  <si>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</si>
  <si>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</si>
  <si>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</si>
  <si>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</si>
  <si>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</si>
  <si>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</si>
  <si>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</si>
  <si>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</si>
  <si>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</si>
  <si>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</si>
  <si>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</si>
  <si>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</si>
  <si>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</si>
  <si>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</si>
  <si>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</si>
  <si>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</si>
  <si>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</si>
  <si>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</si>
  <si>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</si>
  <si>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</si>
  <si>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</si>
  <si>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</si>
  <si>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</si>
  <si>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</si>
  <si>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</si>
  <si>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</si>
  <si>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</si>
  <si>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</si>
  <si>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</si>
  <si>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</si>
  <si>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</si>
  <si>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</si>
  <si>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</si>
  <si>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</si>
  <si>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</si>
  <si>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</si>
  <si>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</si>
  <si>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</si>
  <si>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</si>
  <si>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</si>
  <si>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</si>
  <si>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</si>
  <si>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</si>
  <si>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</si>
  <si>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</si>
  <si>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</si>
  <si>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</si>
  <si>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</si>
  <si>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</si>
  <si>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</si>
  <si>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</si>
  <si>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</si>
  <si>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</si>
  <si>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</si>
  <si>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</si>
  <si>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</si>
  <si>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</si>
  <si>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</si>
  <si>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</si>
  <si>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</si>
  <si>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</si>
  <si>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</si>
  <si>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</si>
  <si>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</si>
  <si>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</si>
  <si>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</si>
  <si>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</si>
  <si>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</si>
  <si>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</si>
  <si>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</si>
  <si>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</si>
  <si>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</si>
  <si>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</si>
  <si>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</si>
  <si>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</si>
  <si>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</si>
  <si>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</si>
  <si>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</si>
  <si>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</si>
  <si>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</si>
  <si>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</si>
  <si>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</si>
  <si>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</si>
  <si>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</si>
  <si>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</si>
  <si>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</si>
  <si>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</si>
  <si>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</si>
  <si>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</si>
  <si>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</si>
  <si>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</si>
  <si>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</si>
  <si>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</si>
  <si>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</si>
  <si>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</si>
  <si>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</si>
  <si>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</si>
  <si>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</si>
  <si>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</si>
  <si>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</si>
  <si>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</si>
  <si>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</si>
  <si>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</si>
  <si>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</si>
  <si>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</si>
  <si>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</si>
  <si>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</si>
  <si>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</si>
  <si>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</si>
  <si>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</si>
  <si>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</si>
  <si>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</si>
  <si>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</si>
  <si>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</si>
  <si>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</si>
  <si>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</si>
  <si>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</si>
  <si>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</si>
  <si>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</si>
  <si>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</si>
  <si>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</si>
  <si>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</si>
  <si>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</si>
  <si>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</si>
  <si>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</si>
  <si>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</si>
  <si>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</si>
  <si>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</si>
  <si>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</si>
  <si>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</si>
  <si>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</si>
  <si>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</si>
  <si>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</si>
  <si>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</si>
  <si>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</si>
  <si>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</si>
  <si>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</si>
  <si>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</si>
  <si>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</si>
  <si>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</si>
  <si>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</si>
  <si>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</si>
  <si>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</si>
  <si>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</si>
  <si>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</si>
  <si>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</si>
  <si>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</si>
  <si>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</si>
  <si>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</si>
  <si>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</si>
  <si>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</si>
  <si>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</si>
  <si>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</si>
  <si>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</si>
  <si>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</si>
  <si>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</si>
  <si>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</si>
  <si>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</si>
  <si>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</si>
  <si>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</si>
  <si>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</si>
  <si>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</si>
  <si>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</si>
  <si>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</si>
  <si>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</si>
  <si>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</si>
  <si>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</si>
  <si>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</si>
  <si>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</si>
  <si>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</si>
  <si>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</si>
  <si>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</si>
  <si>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</si>
  <si>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</si>
  <si>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</si>
  <si>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</si>
  <si>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</si>
  <si>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</si>
  <si>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</si>
  <si>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</si>
  <si>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</si>
  <si>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</si>
  <si>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</si>
  <si>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</si>
  <si>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</si>
  <si>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</si>
  <si>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</si>
  <si>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</si>
  <si>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</si>
  <si>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</si>
  <si>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</si>
  <si>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</si>
  <si>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</si>
  <si>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</si>
  <si>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</si>
  <si>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</si>
  <si>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</si>
  <si>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</si>
  <si>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</si>
  <si>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</si>
  <si>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</si>
  <si>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</si>
  <si>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</si>
  <si>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</si>
  <si>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</si>
  <si>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</si>
  <si>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</si>
  <si>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</si>
  <si>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</si>
  <si>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</si>
  <si>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</si>
  <si>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</si>
  <si>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</si>
  <si>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</si>
  <si>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</si>
  <si>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</si>
  <si>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</si>
  <si>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</si>
  <si>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</si>
  <si>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</si>
  <si>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</si>
  <si>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</si>
  <si>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</si>
  <si>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</si>
  <si>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</si>
  <si>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</si>
  <si>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</si>
  <si>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</si>
  <si>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</si>
  <si>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</si>
  <si>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</si>
  <si>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</si>
  <si>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</si>
  <si>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</si>
  <si>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</si>
  <si>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</si>
  <si>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</si>
  <si>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</si>
  <si>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</si>
  <si>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</si>
  <si>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</si>
  <si>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</si>
  <si>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</si>
  <si>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</si>
  <si>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</si>
  <si>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</si>
  <si>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</si>
  <si>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</si>
  <si>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</si>
  <si>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</si>
  <si>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</si>
  <si>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</si>
  <si>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</si>
  <si>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</si>
  <si>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</si>
  <si>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</si>
  <si>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</si>
  <si>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</si>
  <si>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</si>
  <si>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</si>
  <si>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</si>
  <si>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</si>
  <si>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</si>
  <si>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</si>
  <si>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</si>
  <si>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</si>
  <si>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</si>
  <si>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</si>
  <si>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</si>
  <si>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</si>
  <si>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</si>
  <si>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</si>
  <si>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</si>
  <si>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</si>
  <si>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</si>
  <si>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</si>
  <si>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</si>
  <si>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</si>
  <si>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</si>
  <si>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</si>
  <si>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</si>
  <si>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</si>
  <si>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</si>
  <si>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</si>
  <si>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</si>
  <si>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</si>
  <si>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</si>
  <si>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</si>
  <si>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</si>
  <si>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</si>
  <si>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</si>
  <si>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</si>
  <si>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</si>
  <si>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</si>
  <si>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</si>
  <si>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</si>
  <si>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</si>
  <si>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</si>
  <si>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</si>
  <si>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</si>
  <si>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</si>
  <si>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</si>
  <si>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</si>
  <si>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</si>
  <si>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</si>
  <si>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</si>
  <si>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</si>
  <si>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</si>
  <si>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</si>
  <si>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</si>
  <si>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</si>
  <si>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</si>
  <si>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</si>
  <si>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</si>
  <si>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</si>
  <si>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</si>
  <si>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</si>
  <si>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</si>
  <si>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</si>
  <si>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</si>
  <si>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</si>
  <si>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</si>
  <si>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</si>
  <si>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</si>
  <si>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</si>
  <si>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</si>
  <si>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</si>
  <si>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</si>
  <si>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</si>
  <si>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</si>
  <si>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</si>
  <si>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</si>
  <si>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</si>
  <si>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</si>
  <si>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</si>
  <si>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</si>
  <si>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</si>
  <si>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</si>
  <si>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</si>
  <si>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</si>
  <si>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</si>
  <si>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</si>
  <si>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</si>
  <si>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</si>
  <si>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</si>
  <si>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</si>
  <si>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</si>
  <si>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</si>
  <si>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</si>
  <si>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</si>
  <si>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</si>
  <si>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</si>
  <si>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</si>
  <si>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</si>
  <si>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</si>
  <si>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</si>
  <si>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</si>
  <si>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</si>
  <si>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</si>
  <si>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</si>
  <si>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</si>
  <si>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</si>
  <si>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</si>
  <si>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</si>
  <si>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</si>
  <si>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</si>
  <si>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</si>
  <si>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</si>
  <si>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</si>
  <si>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</si>
  <si>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</si>
  <si>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</si>
  <si>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</si>
  <si>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</si>
  <si>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</si>
  <si>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</si>
  <si>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</si>
  <si>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</si>
  <si>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</si>
  <si>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</si>
  <si>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</si>
  <si>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</si>
  <si>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</si>
  <si>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</si>
  <si>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</si>
  <si>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</si>
  <si>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</si>
  <si>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</si>
  <si>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</si>
  <si>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</si>
  <si>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</si>
  <si>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</si>
  <si>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</si>
  <si>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</si>
  <si>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</si>
  <si>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</si>
  <si>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</si>
  <si>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</si>
  <si>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</si>
  <si>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</si>
  <si>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</si>
  <si>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</si>
  <si>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</si>
  <si>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</si>
  <si>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</si>
  <si>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</si>
  <si>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</si>
  <si>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</si>
  <si>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</si>
  <si>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</si>
  <si>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</si>
  <si>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</si>
  <si>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</si>
  <si>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</si>
  <si>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</si>
  <si>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</si>
  <si>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</si>
  <si>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</si>
  <si>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</si>
  <si>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</si>
  <si>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</si>
  <si>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</si>
  <si>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</si>
  <si>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</si>
  <si>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</si>
  <si>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</si>
  <si>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</si>
  <si>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</si>
  <si>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</si>
  <si>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</si>
  <si>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</si>
  <si>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</si>
  <si>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</si>
  <si>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</si>
  <si>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</si>
  <si>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</si>
  <si>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</si>
  <si>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</si>
  <si>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</si>
  <si>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</si>
  <si>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</si>
  <si>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</si>
  <si>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</si>
  <si>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</si>
  <si>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</si>
  <si>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</si>
  <si>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</si>
  <si>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</si>
  <si>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</si>
  <si>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</si>
  <si>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</si>
  <si>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</si>
  <si>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</si>
  <si>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</si>
  <si>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</si>
  <si>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</si>
  <si>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</si>
  <si>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</si>
  <si>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</si>
  <si>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</si>
  <si>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</si>
  <si>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</si>
  <si>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</si>
  <si>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</si>
  <si>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</si>
  <si>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</si>
  <si>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</si>
  <si>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</si>
  <si>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</si>
  <si>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</si>
  <si>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</si>
  <si>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</si>
  <si>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</si>
  <si>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</si>
  <si>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</si>
  <si>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</si>
  <si>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</si>
  <si>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</si>
  <si>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</si>
  <si>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</si>
  <si>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</si>
  <si>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</si>
  <si>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</si>
  <si>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</si>
  <si>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</si>
  <si>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</si>
  <si>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</si>
  <si>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</si>
  <si>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</si>
  <si>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</si>
  <si>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</si>
  <si>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</si>
  <si>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</si>
  <si>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</si>
  <si>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</si>
  <si>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</si>
  <si>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</si>
  <si>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</si>
  <si>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</si>
  <si>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</si>
  <si>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</si>
  <si>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</si>
  <si>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</si>
  <si>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</si>
  <si>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</si>
  <si>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</si>
  <si>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</si>
  <si>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</si>
  <si>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</si>
  <si>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</si>
  <si>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</si>
  <si>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</si>
  <si>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</si>
  <si>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</si>
  <si>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</si>
  <si>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</si>
  <si>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</si>
  <si>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</si>
  <si>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</si>
  <si>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</si>
  <si>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</si>
  <si>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</si>
  <si>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</si>
  <si>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</si>
  <si>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</si>
  <si>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</si>
  <si>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</si>
  <si>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</si>
  <si>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</si>
  <si>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</si>
  <si>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</si>
  <si>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</si>
  <si>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</si>
  <si>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</si>
  <si>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</si>
  <si>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</si>
  <si>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</si>
  <si>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</si>
  <si>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</si>
  <si>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</si>
  <si>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</si>
  <si>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</si>
  <si>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</si>
  <si>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</si>
  <si>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</si>
  <si>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</si>
  <si>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</si>
  <si>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</si>
  <si>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</si>
  <si>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</si>
  <si>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</si>
  <si>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</si>
  <si>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</si>
  <si>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</si>
  <si>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</si>
  <si>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</si>
  <si>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</si>
  <si>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</si>
  <si>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</si>
  <si>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</si>
  <si>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</si>
  <si>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</si>
  <si>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</si>
  <si>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</si>
  <si>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</si>
  <si>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</si>
  <si>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</si>
  <si>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</si>
  <si>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</si>
  <si>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</si>
  <si>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</si>
  <si>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</si>
  <si>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</si>
  <si>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</si>
  <si>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</si>
  <si>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</si>
  <si>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</si>
  <si>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</si>
  <si>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</si>
  <si>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</si>
  <si>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</si>
  <si>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</si>
  <si>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</si>
  <si>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</si>
  <si>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</si>
  <si>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</si>
  <si>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</si>
  <si>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</si>
  <si>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</si>
  <si>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</si>
  <si>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</si>
  <si>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</si>
  <si>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</si>
  <si>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</si>
  <si>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</si>
  <si>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</si>
  <si>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</si>
  <si>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</si>
  <si>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</si>
  <si>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</si>
  <si>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</si>
  <si>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</si>
  <si>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</si>
  <si>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</si>
  <si>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</si>
  <si>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</si>
  <si>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</si>
  <si>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</si>
  <si>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</si>
  <si>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</si>
  <si>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</si>
  <si>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</si>
  <si>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</si>
  <si>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</si>
  <si>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</si>
  <si>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</si>
  <si>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</si>
  <si>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</si>
  <si>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</si>
  <si>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</si>
  <si>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</si>
  <si>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</si>
  <si>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</si>
  <si>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</si>
  <si>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</si>
  <si>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</si>
  <si>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</si>
  <si>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</si>
  <si>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</si>
  <si>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</si>
  <si>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</si>
  <si>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</si>
  <si>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</si>
  <si>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</si>
  <si>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</si>
  <si>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</si>
  <si>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</si>
  <si>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</si>
  <si>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</si>
  <si>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</si>
  <si>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</si>
  <si>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</si>
  <si>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</si>
  <si>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</si>
  <si>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</si>
  <si>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</si>
  <si>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</si>
  <si>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</si>
  <si>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</si>
  <si>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</si>
  <si>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</si>
  <si>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</si>
  <si>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</si>
  <si>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</si>
  <si>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</si>
  <si>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</si>
  <si>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</si>
  <si>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</si>
  <si>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</si>
  <si>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</si>
  <si>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</si>
  <si>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</si>
  <si>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</si>
  <si>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</si>
  <si>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</si>
  <si>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</si>
  <si>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</si>
  <si>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</si>
  <si>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</si>
  <si>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</si>
  <si>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</si>
  <si>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</si>
  <si>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</si>
  <si>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</si>
  <si>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</si>
  <si>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</si>
  <si>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</si>
  <si>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</si>
  <si>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</si>
  <si>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</si>
  <si>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</si>
  <si>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</si>
  <si>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</si>
  <si>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</si>
  <si>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</si>
  <si>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</si>
  <si>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</si>
  <si>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</si>
  <si>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</si>
  <si>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</si>
  <si>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</si>
  <si>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</si>
  <si>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</si>
  <si>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</si>
  <si>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</si>
  <si>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</si>
  <si>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</si>
  <si>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</si>
  <si>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</si>
  <si>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</si>
  <si>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</si>
  <si>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</si>
  <si>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</si>
  <si>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</si>
  <si>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</si>
  <si>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</si>
  <si>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</si>
  <si>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</si>
  <si>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</si>
  <si>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</si>
  <si>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</si>
  <si>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</si>
  <si>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</si>
  <si>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</si>
  <si>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</si>
  <si>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</si>
  <si>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</si>
  <si>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</si>
  <si>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</si>
  <si>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</si>
  <si>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</si>
  <si>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</si>
  <si>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</si>
  <si>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</si>
  <si>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</si>
  <si>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</si>
  <si>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</si>
  <si>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</si>
  <si>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</si>
  <si>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</si>
  <si>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</si>
  <si>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</si>
  <si>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</si>
  <si>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</si>
  <si>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</si>
  <si>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</si>
  <si>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</si>
  <si>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</si>
  <si>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</si>
  <si>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</si>
  <si>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</si>
  <si>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</si>
  <si>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</si>
  <si>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</si>
  <si>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</si>
  <si>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</si>
  <si>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</si>
  <si>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</si>
  <si>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</si>
  <si>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</si>
  <si>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</si>
  <si>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</si>
  <si>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</si>
  <si>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</si>
  <si>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</si>
  <si>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</si>
  <si>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</si>
  <si>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</si>
  <si>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</si>
  <si>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</si>
  <si>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</si>
  <si>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</si>
  <si>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</si>
  <si>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</si>
  <si>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</si>
  <si>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</si>
  <si>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</si>
  <si>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</si>
  <si>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</si>
  <si>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</si>
  <si>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</si>
  <si>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</si>
  <si>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</si>
  <si>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</si>
  <si>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</si>
  <si>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</si>
  <si>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</si>
  <si>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</si>
  <si>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</si>
  <si>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</si>
  <si>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</si>
  <si>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</si>
  <si>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</si>
  <si>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</si>
  <si>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</si>
  <si>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</si>
  <si>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</si>
  <si>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</si>
  <si>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</si>
  <si>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</si>
  <si>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</si>
  <si>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</si>
  <si>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</si>
  <si>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</si>
  <si>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</si>
  <si>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</si>
  <si>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</si>
  <si>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</si>
  <si>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</si>
  <si>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</si>
  <si>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</si>
  <si>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</si>
  <si>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</si>
  <si>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</si>
  <si>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</si>
  <si>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</si>
  <si>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</si>
  <si>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</si>
  <si>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</si>
  <si>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</si>
  <si>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</si>
  <si>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</si>
  <si>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</si>
  <si>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</si>
  <si>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</si>
  <si>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</si>
  <si>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</si>
  <si>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</si>
  <si>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</si>
  <si>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</si>
  <si>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</si>
  <si>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</si>
  <si>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</si>
  <si>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</si>
  <si>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</si>
  <si>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</si>
  <si>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</si>
  <si>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</si>
  <si>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</si>
  <si>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</si>
  <si>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</si>
  <si>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</si>
  <si>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</si>
  <si>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</si>
  <si>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</si>
  <si>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</si>
  <si>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</si>
  <si>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</si>
  <si>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</si>
  <si>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</si>
  <si>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</si>
  <si>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</si>
  <si>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</si>
  <si>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</si>
  <si>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</si>
  <si>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</si>
  <si>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</si>
  <si>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</si>
  <si>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</si>
  <si>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</si>
  <si>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</si>
  <si>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</si>
  <si>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</si>
  <si>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</si>
  <si>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</si>
  <si>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</si>
  <si>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</si>
  <si>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</si>
  <si>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</si>
  <si>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</si>
  <si>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</si>
  <si>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</si>
  <si>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</si>
  <si>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</si>
  <si>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</si>
  <si>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</si>
  <si>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</si>
  <si>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</si>
  <si>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</si>
  <si>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</si>
  <si>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</si>
  <si>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</si>
  <si>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</si>
  <si>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</si>
  <si>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</si>
  <si>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</si>
  <si>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</si>
  <si>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</si>
  <si>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</si>
  <si>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</si>
  <si>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</si>
  <si>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</si>
  <si>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</si>
  <si>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</si>
  <si>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</si>
  <si>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</si>
  <si>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</si>
  <si>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</si>
  <si>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</si>
  <si>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</si>
  <si>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</si>
  <si>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</si>
  <si>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</si>
  <si>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</si>
  <si>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</si>
  <si>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</si>
  <si>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</si>
  <si>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</si>
  <si>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</si>
  <si>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</si>
  <si>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</si>
  <si>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</si>
  <si>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</si>
  <si>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</si>
  <si>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</si>
  <si>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</si>
  <si>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</si>
  <si>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</si>
  <si>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</si>
  <si>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</si>
  <si>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</si>
  <si>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</si>
  <si>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</si>
  <si>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</si>
  <si>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</si>
  <si>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</si>
  <si>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</si>
  <si>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</si>
  <si>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</si>
  <si>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</si>
  <si>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</si>
  <si>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</si>
  <si>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</si>
  <si>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</si>
  <si>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</si>
  <si>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</si>
  <si>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</si>
  <si>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</si>
  <si>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</si>
  <si>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</si>
  <si>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</si>
  <si>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</si>
  <si>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</si>
  <si>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</si>
  <si>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</si>
  <si>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</si>
  <si>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</si>
  <si>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</si>
  <si>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</si>
  <si>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</si>
  <si>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</si>
  <si>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</si>
  <si>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</si>
  <si>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</si>
  <si>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</si>
  <si>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</si>
  <si>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</si>
  <si>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</si>
  <si>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</si>
  <si>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</si>
  <si>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</si>
  <si>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</si>
  <si>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</si>
  <si>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</si>
  <si>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</si>
  <si>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</si>
  <si>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</si>
  <si>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</si>
  <si>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</si>
  <si>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</si>
  <si>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</si>
  <si>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</si>
  <si>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</si>
  <si>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</si>
  <si>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</si>
  <si>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</si>
  <si>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</si>
  <si>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</si>
  <si>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</si>
  <si>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</si>
  <si>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</si>
  <si>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</si>
  <si>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</si>
  <si>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</si>
  <si>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</si>
  <si>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</si>
  <si>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</si>
  <si>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</si>
  <si>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</si>
  <si>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</si>
  <si>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</si>
  <si>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</si>
  <si>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</si>
  <si>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</si>
  <si>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</si>
  <si>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</si>
  <si>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</si>
  <si>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</si>
  <si>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</si>
  <si>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</si>
  <si>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</si>
  <si>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</si>
  <si>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</si>
  <si>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</si>
  <si>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</si>
  <si>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</si>
  <si>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</si>
  <si>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</si>
  <si>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</si>
  <si>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</si>
  <si>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</si>
  <si>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</si>
  <si>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</si>
  <si>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</si>
  <si>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</si>
  <si>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</si>
  <si>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</si>
  <si>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</si>
  <si>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</si>
  <si>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</si>
  <si>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</si>
  <si>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</si>
  <si>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</si>
  <si>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</si>
  <si>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</si>
  <si>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</si>
  <si>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</si>
  <si>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</si>
  <si>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</si>
  <si>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</si>
  <si>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</si>
  <si>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</si>
  <si>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</si>
  <si>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</si>
  <si>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</si>
  <si>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</si>
  <si>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</si>
  <si>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</si>
  <si>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</si>
  <si>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</si>
  <si>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</si>
  <si>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</si>
  <si>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</si>
  <si>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</si>
  <si>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</si>
  <si>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</si>
  <si>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</si>
  <si>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</si>
  <si>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</si>
  <si>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</si>
  <si>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</si>
  <si>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</si>
  <si>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</si>
  <si>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</si>
  <si>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</si>
  <si>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</si>
  <si>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</si>
  <si>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</si>
  <si>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</si>
  <si>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</si>
  <si>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</si>
  <si>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</si>
  <si>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</si>
  <si>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</si>
  <si>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</si>
  <si>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</si>
  <si>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</si>
  <si>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</si>
  <si>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</si>
  <si>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</si>
  <si>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</si>
  <si>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</si>
  <si>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</si>
  <si>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</si>
  <si>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</si>
  <si>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</si>
  <si>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</si>
  <si>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</si>
  <si>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</si>
  <si>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</si>
  <si>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</si>
  <si>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</si>
  <si>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</si>
  <si>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</si>
  <si>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</si>
  <si>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</si>
  <si>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</si>
  <si>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</si>
  <si>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</si>
  <si>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</si>
  <si>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</si>
  <si>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</si>
  <si>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</si>
  <si>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</si>
  <si>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</si>
  <si>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</si>
  <si>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</si>
  <si>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</si>
  <si>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</si>
  <si>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</si>
  <si>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</si>
  <si>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</si>
  <si>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</si>
  <si>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</si>
  <si>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</si>
  <si>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</si>
  <si>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</si>
  <si>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</si>
  <si>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</si>
  <si>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</si>
  <si>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</si>
  <si>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</si>
  <si>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</si>
  <si>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</si>
  <si>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</si>
  <si>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</si>
  <si>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</si>
  <si>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</si>
  <si>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</si>
  <si>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</si>
  <si>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</si>
  <si>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</si>
  <si>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</si>
  <si>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</si>
  <si>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</si>
  <si>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</si>
  <si>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</si>
  <si>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</si>
  <si>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</si>
  <si>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</si>
  <si>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</si>
  <si>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</si>
  <si>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</si>
  <si>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</si>
  <si>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</si>
  <si>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</si>
  <si>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</si>
  <si>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</si>
  <si>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</si>
  <si>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</si>
  <si>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</si>
  <si>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</si>
  <si>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</si>
  <si>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</si>
  <si>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</si>
  <si>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</si>
  <si>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</si>
  <si>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</si>
  <si>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</si>
  <si>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</si>
  <si>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</si>
  <si>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</si>
  <si>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</si>
  <si>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</si>
  <si>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</si>
  <si>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</si>
  <si>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</si>
  <si>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</si>
  <si>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</si>
  <si>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</si>
  <si>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</si>
  <si>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</si>
  <si>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</si>
  <si>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</si>
  <si>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</si>
  <si>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</si>
  <si>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</si>
  <si>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</si>
  <si>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</si>
  <si>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</si>
  <si>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</si>
  <si>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</si>
  <si>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</si>
  <si>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</si>
  <si>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</si>
  <si>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</si>
  <si>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</si>
  <si>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</si>
  <si>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</si>
  <si>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</si>
  <si>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</si>
  <si>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</si>
  <si>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</si>
  <si>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</si>
  <si>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</si>
  <si>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</si>
  <si>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</si>
  <si>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</si>
  <si>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</si>
  <si>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</si>
  <si>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</si>
  <si>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</si>
  <si>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</si>
  <si>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</si>
  <si>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</si>
  <si>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</si>
  <si>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</si>
  <si>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</si>
  <si>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</si>
  <si>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</si>
  <si>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</si>
  <si>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</si>
  <si>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</si>
  <si>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</si>
  <si>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</si>
  <si>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</si>
  <si>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</si>
  <si>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</si>
  <si>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</si>
  <si>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</si>
  <si>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</si>
  <si>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</si>
  <si>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</si>
  <si>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</si>
  <si>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</si>
  <si>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</si>
  <si>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</si>
  <si>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</si>
  <si>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</si>
  <si>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</si>
  <si>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</si>
  <si>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</si>
  <si>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</si>
  <si>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</si>
  <si>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</si>
  <si>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</si>
  <si>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</si>
  <si>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</si>
  <si>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</si>
  <si>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</si>
  <si>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</si>
  <si>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</si>
  <si>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</si>
  <si>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</si>
  <si>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</si>
  <si>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</si>
  <si>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</si>
  <si>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</si>
  <si>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</si>
  <si>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</si>
  <si>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</si>
  <si>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</si>
  <si>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</si>
  <si>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</si>
  <si>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</si>
  <si>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</si>
  <si>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</si>
  <si>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</si>
  <si>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</si>
  <si>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</si>
  <si>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</si>
  <si>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</si>
  <si>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</si>
  <si>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</si>
  <si>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</si>
  <si>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</si>
  <si>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</si>
  <si>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</si>
  <si>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</si>
  <si>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</si>
  <si>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</si>
  <si>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</si>
  <si>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</si>
  <si>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</si>
  <si>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</si>
  <si>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</si>
  <si>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</si>
  <si>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</si>
  <si>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</si>
  <si>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</si>
  <si>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</si>
  <si>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</si>
  <si>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</si>
  <si>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</si>
  <si>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</si>
  <si>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</si>
  <si>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</si>
  <si>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</si>
  <si>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</si>
  <si>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</si>
  <si>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</si>
  <si>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</si>
  <si>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</si>
  <si>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</si>
  <si>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</si>
  <si>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</si>
  <si>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</si>
  <si>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</si>
  <si>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</si>
  <si>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</si>
  <si>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</si>
  <si>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</si>
  <si>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</si>
  <si>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</si>
  <si>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</si>
  <si>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</si>
  <si>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</si>
  <si>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</si>
  <si>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</si>
  <si>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</si>
  <si>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</si>
  <si>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</si>
  <si>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</si>
  <si>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</si>
  <si>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</si>
  <si>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</si>
  <si>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</si>
  <si>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</si>
  <si>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</si>
  <si>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</si>
  <si>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</si>
  <si>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</si>
  <si>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</si>
  <si>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</si>
  <si>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</si>
  <si>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</si>
  <si>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</si>
  <si>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</si>
  <si>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</si>
  <si>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</si>
  <si>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</si>
  <si>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</si>
  <si>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</si>
  <si>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</si>
  <si>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</si>
  <si>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</si>
  <si>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</si>
  <si>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</si>
  <si>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</si>
  <si>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</si>
  <si>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</si>
  <si>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</si>
  <si>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</si>
  <si>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</si>
  <si>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</si>
  <si>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</si>
  <si>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</si>
  <si>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</si>
  <si>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</si>
  <si>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</si>
  <si>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</si>
  <si>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</si>
  <si>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</si>
  <si>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</si>
  <si>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</si>
  <si>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</si>
  <si>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</si>
  <si>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</si>
  <si>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</si>
  <si>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</si>
  <si>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</si>
  <si>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</si>
  <si>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</si>
  <si>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</si>
  <si>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</si>
  <si>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</si>
  <si>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</si>
  <si>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</si>
  <si>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</si>
  <si>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</si>
  <si>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</si>
  <si>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</si>
  <si>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</si>
  <si>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</si>
  <si>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</si>
  <si>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</si>
  <si>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</si>
  <si>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</si>
  <si>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</si>
  <si>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</si>
  <si>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</si>
  <si>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</si>
  <si>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</si>
  <si>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</si>
  <si>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</si>
  <si>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</si>
  <si>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</si>
  <si>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</si>
  <si>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</si>
  <si>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</si>
  <si>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</si>
  <si>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</si>
  <si>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</si>
  <si>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</si>
  <si>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</si>
  <si>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</si>
  <si>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</si>
  <si>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</si>
  <si>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</si>
  <si>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</si>
  <si>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</si>
  <si>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</si>
  <si>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</si>
  <si>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</si>
  <si>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</si>
  <si>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</si>
  <si>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</si>
  <si>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</si>
  <si>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</si>
  <si>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</si>
  <si>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</si>
  <si>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</si>
  <si>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</si>
  <si>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</si>
  <si>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</si>
  <si>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</si>
  <si>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</si>
  <si>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</si>
  <si>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</si>
  <si>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</si>
  <si>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</si>
  <si>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</si>
  <si>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</si>
  <si>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</si>
  <si>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</si>
  <si>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</si>
  <si>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</si>
  <si>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</si>
  <si>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</si>
  <si>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</si>
  <si>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</si>
  <si>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</si>
  <si>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</si>
  <si>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</si>
  <si>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</si>
  <si>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</si>
  <si>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</si>
  <si>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</si>
  <si>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</si>
  <si>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</si>
  <si>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</si>
  <si>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</si>
  <si>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</si>
  <si>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</si>
  <si>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</si>
  <si>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</si>
  <si>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</si>
  <si>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</si>
  <si>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</si>
  <si>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</si>
  <si>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</si>
  <si>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</si>
  <si>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</si>
  <si>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</si>
  <si>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</si>
  <si>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</si>
  <si>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</si>
  <si>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</si>
  <si>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</si>
  <si>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</si>
  <si>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</si>
  <si>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</si>
  <si>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</si>
  <si>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</si>
  <si>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</si>
  <si>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</si>
  <si>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</si>
  <si>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</si>
  <si>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</si>
  <si>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</si>
  <si>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</si>
  <si>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</si>
  <si>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</si>
  <si>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</si>
  <si>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</si>
  <si>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</si>
  <si>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</si>
  <si>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</si>
  <si>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</si>
  <si>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</si>
  <si>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</si>
  <si>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</si>
  <si>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</si>
  <si>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</si>
  <si>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</si>
  <si>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</si>
  <si>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</si>
  <si>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</si>
  <si>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</si>
  <si>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</si>
  <si>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</si>
  <si>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</si>
  <si>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</si>
  <si>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</si>
  <si>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</si>
  <si>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</si>
  <si>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</si>
  <si>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</si>
  <si>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</si>
  <si>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</si>
  <si>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</si>
  <si>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</si>
  <si>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</si>
  <si>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</si>
  <si>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</si>
  <si>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</si>
  <si>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</si>
  <si>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</si>
  <si>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</si>
  <si>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</si>
  <si>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</si>
  <si>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</si>
  <si>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</si>
  <si>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</si>
  <si>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</si>
  <si>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</si>
  <si>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</si>
  <si>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</si>
  <si>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</si>
  <si>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</si>
  <si>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</si>
  <si>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</si>
  <si>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</si>
  <si>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</si>
  <si>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</si>
  <si>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</si>
  <si>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</si>
  <si>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</si>
  <si>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</si>
  <si>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</si>
  <si>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</si>
  <si>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</si>
  <si>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</si>
  <si>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</si>
  <si>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</si>
  <si>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</si>
  <si>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</si>
  <si>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</si>
  <si>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</si>
  <si>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</si>
  <si>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</si>
  <si>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</si>
  <si>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</si>
  <si>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</si>
  <si>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</si>
  <si>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</si>
  <si>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</si>
  <si>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</si>
  <si>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</si>
  <si>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</si>
  <si>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</si>
  <si>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</si>
  <si>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</si>
  <si>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</si>
  <si>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</si>
  <si>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</si>
  <si>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</si>
  <si>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</si>
  <si>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</si>
  <si>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</si>
  <si>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</si>
  <si>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</si>
  <si>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</si>
  <si>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</si>
  <si>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</si>
  <si>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</si>
  <si>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</si>
  <si>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</si>
  <si>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</si>
  <si>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</si>
  <si>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</si>
  <si>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</si>
  <si>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</si>
  <si>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</si>
  <si>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</si>
  <si>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</si>
  <si>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</si>
  <si>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</si>
  <si>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</si>
  <si>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</si>
  <si>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</si>
  <si>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</si>
  <si>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</si>
  <si>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</si>
  <si>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</si>
  <si>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</si>
  <si>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</si>
  <si>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</si>
  <si>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</si>
  <si>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</si>
  <si>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</si>
  <si>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</si>
  <si>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</si>
  <si>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</si>
  <si>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</si>
  <si>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</si>
  <si>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</si>
  <si>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</si>
  <si>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</si>
  <si>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</si>
  <si>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</si>
  <si>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</si>
  <si>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</si>
  <si>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</si>
  <si>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</si>
  <si>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</si>
  <si>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</si>
  <si>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</si>
  <si>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</si>
  <si>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</si>
  <si>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</si>
  <si>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</si>
  <si>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</si>
  <si>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</si>
  <si>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</si>
  <si>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</si>
  <si>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</si>
  <si>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</si>
  <si>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</si>
  <si>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</si>
  <si>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</si>
  <si>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</si>
  <si>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</si>
  <si>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</si>
  <si>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</si>
  <si>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</si>
  <si>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</si>
  <si>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</si>
  <si>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</si>
  <si>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</si>
  <si>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</si>
  <si>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</si>
  <si>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</si>
  <si>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</si>
  <si>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</si>
  <si>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</si>
  <si>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</si>
  <si>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</si>
  <si>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</si>
  <si>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</si>
  <si>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</si>
  <si>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</si>
  <si>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</si>
  <si>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</si>
  <si>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</si>
  <si>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</si>
  <si>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</si>
  <si>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</si>
  <si>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</si>
  <si>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</si>
  <si>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</si>
  <si>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</si>
  <si>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</si>
  <si>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</si>
  <si>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</si>
  <si>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</si>
  <si>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</si>
  <si>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</si>
  <si>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</si>
  <si>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</si>
  <si>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</si>
  <si>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</si>
  <si>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</si>
  <si>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</si>
  <si>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</si>
  <si>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</si>
  <si>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</si>
  <si>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</si>
  <si>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</si>
  <si>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</si>
  <si>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</si>
  <si>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</si>
  <si>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</si>
  <si>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</si>
  <si>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</si>
  <si>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</si>
  <si>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</si>
  <si>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</si>
  <si>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</si>
  <si>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</si>
  <si>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</si>
  <si>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</si>
  <si>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</si>
  <si>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</si>
  <si>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</si>
  <si>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</si>
  <si>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</si>
  <si>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</si>
  <si>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</si>
  <si>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</si>
  <si>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</si>
  <si>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</si>
  <si>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</si>
  <si>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</si>
  <si>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</si>
  <si>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</si>
  <si>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</si>
  <si>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</si>
  <si>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</si>
  <si>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</si>
  <si>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</si>
  <si>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</si>
  <si>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</si>
  <si>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</si>
  <si>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</si>
  <si>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</si>
  <si>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</si>
  <si>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</si>
  <si>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</si>
  <si>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</si>
  <si>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</si>
  <si>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</si>
  <si>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</si>
  <si>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</si>
  <si>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</si>
  <si>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</si>
  <si>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</si>
  <si>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</si>
  <si>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</si>
  <si>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</si>
  <si>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</si>
  <si>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</si>
  <si>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</si>
  <si>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</si>
  <si>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</si>
  <si>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</si>
  <si>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</si>
  <si>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</si>
  <si>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</si>
  <si>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</si>
  <si>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</si>
  <si>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</si>
  <si>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</si>
  <si>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</si>
  <si>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</si>
  <si>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</si>
  <si>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</si>
  <si>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</si>
  <si>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</si>
  <si>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</si>
  <si>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</si>
  <si>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</si>
  <si>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</si>
  <si>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</si>
  <si>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</si>
  <si>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</si>
  <si>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</si>
  <si>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</si>
  <si>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</si>
  <si>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</si>
  <si>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</si>
  <si>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</si>
  <si>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</si>
  <si>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</si>
  <si>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</si>
  <si>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</si>
  <si>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</si>
  <si>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</si>
  <si>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</si>
  <si>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</si>
  <si>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</si>
  <si>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</si>
  <si>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</si>
  <si>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</si>
  <si>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</si>
  <si>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</si>
  <si>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</si>
  <si>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</si>
  <si>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</si>
  <si>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</si>
  <si>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</si>
  <si>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</si>
  <si>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</si>
  <si>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</si>
  <si>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</si>
  <si>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</si>
  <si>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</si>
  <si>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</si>
  <si>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</si>
  <si>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</si>
  <si>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</si>
  <si>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</si>
  <si>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</si>
  <si>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</si>
  <si>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</si>
  <si>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</si>
  <si>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</si>
  <si>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</si>
  <si>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</si>
  <si>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</si>
  <si>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</si>
  <si>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</si>
  <si>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</si>
  <si>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</si>
  <si>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</si>
  <si>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</si>
  <si>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</si>
  <si>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</si>
  <si>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</si>
  <si>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</si>
  <si>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</si>
  <si>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</si>
  <si>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</si>
  <si>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</si>
  <si>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</si>
  <si>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</si>
  <si>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</si>
  <si>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</si>
  <si>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</si>
  <si>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</si>
  <si>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</si>
  <si>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</si>
  <si>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</si>
  <si>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</si>
  <si>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</si>
  <si>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</si>
  <si>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</si>
  <si>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</si>
  <si>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</si>
  <si>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</si>
  <si>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</si>
  <si>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</si>
  <si>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</si>
  <si>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</si>
  <si>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</si>
  <si>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</si>
  <si>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</si>
  <si>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</si>
  <si>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</si>
  <si>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</si>
  <si>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</si>
  <si>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</si>
  <si>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</si>
  <si>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</si>
  <si>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</si>
  <si>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</si>
  <si>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</si>
  <si>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</si>
  <si>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</si>
  <si>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</si>
  <si>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</si>
  <si>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</si>
  <si>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</si>
  <si>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</si>
  <si>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</si>
  <si>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</si>
  <si>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</si>
  <si>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</si>
  <si>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</si>
  <si>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</si>
  <si>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</si>
  <si>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</si>
  <si>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</si>
  <si>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</si>
  <si>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</si>
  <si>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</si>
  <si>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</si>
  <si>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</si>
  <si>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</si>
  <si>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</si>
  <si>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</si>
  <si>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</si>
  <si>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</si>
  <si>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</si>
  <si>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</si>
  <si>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</si>
  <si>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</si>
  <si>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</si>
  <si>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</si>
  <si>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</si>
  <si>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</si>
  <si>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</si>
  <si>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</si>
  <si>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</si>
  <si>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</si>
  <si>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</si>
  <si>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</si>
  <si>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</si>
  <si>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</si>
  <si>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</si>
  <si>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</si>
  <si>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</si>
  <si>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</si>
  <si>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</si>
  <si>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</si>
  <si>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</si>
  <si>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</si>
  <si>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</si>
  <si>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</si>
  <si>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</si>
  <si>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</si>
  <si>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</si>
  <si>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</si>
  <si>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</si>
  <si>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</si>
  <si>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</si>
  <si>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</si>
  <si>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</si>
  <si>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</si>
  <si>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</si>
  <si>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</si>
  <si>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</si>
  <si>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</si>
  <si>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</si>
  <si>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</si>
  <si>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</si>
  <si>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</si>
  <si>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</si>
  <si>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</si>
  <si>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</si>
  <si>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</si>
  <si>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</si>
  <si>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</si>
  <si>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</si>
  <si>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</si>
  <si>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</si>
  <si>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</si>
  <si>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</si>
  <si>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</si>
  <si>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</si>
  <si>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</si>
  <si>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</si>
  <si>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</si>
  <si>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</si>
  <si>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</si>
  <si>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</si>
  <si>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</si>
  <si>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</si>
  <si>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</si>
  <si>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</si>
  <si>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</si>
  <si>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</si>
  <si>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</si>
  <si>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</si>
  <si>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</si>
  <si>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</si>
  <si>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</si>
  <si>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</si>
  <si>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</si>
  <si>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</si>
  <si>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</si>
  <si>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</si>
  <si>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</si>
  <si>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</si>
  <si>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</si>
  <si>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</si>
  <si>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</si>
  <si>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</si>
  <si>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</si>
  <si>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</si>
  <si>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</si>
  <si>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</si>
  <si>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</si>
  <si>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</si>
  <si>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</si>
  <si>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</si>
  <si>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</si>
  <si>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</si>
  <si>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</si>
  <si>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</si>
  <si>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</si>
  <si>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</si>
  <si>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</si>
  <si>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</si>
  <si>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</si>
  <si>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</si>
  <si>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</si>
  <si>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</si>
  <si>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</si>
  <si>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</si>
  <si>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</si>
  <si>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</si>
  <si>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</si>
  <si>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</si>
  <si>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</si>
  <si>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</si>
  <si>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</si>
  <si>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</si>
  <si>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</si>
  <si>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</si>
  <si>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</si>
  <si>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</si>
  <si>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</si>
  <si>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</si>
  <si>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</si>
  <si>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</si>
  <si>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</si>
  <si>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</si>
  <si>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</si>
  <si>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</si>
  <si>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</si>
  <si>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</si>
  <si>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</si>
  <si>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</si>
  <si>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</si>
  <si>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</si>
  <si>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</si>
  <si>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</si>
  <si>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</si>
  <si>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</si>
  <si>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</si>
  <si>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</si>
  <si>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</si>
  <si>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</si>
  <si>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</si>
  <si>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</si>
  <si>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</si>
  <si>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</si>
  <si>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</si>
  <si>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</si>
  <si>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</si>
  <si>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</si>
  <si>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</si>
  <si>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</si>
  <si>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</si>
  <si>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</si>
  <si>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</si>
  <si>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</si>
  <si>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</si>
  <si>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</si>
  <si>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</si>
  <si>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</si>
  <si>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</si>
  <si>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</si>
  <si>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</si>
  <si>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</si>
  <si>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</si>
  <si>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</si>
  <si>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</si>
  <si>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</si>
  <si>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</si>
  <si>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</si>
  <si>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</si>
  <si>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</si>
  <si>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</si>
  <si>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</si>
  <si>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</si>
  <si>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</si>
  <si>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</si>
  <si>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</si>
  <si>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</si>
  <si>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</si>
  <si>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</si>
  <si>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</si>
  <si>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</si>
  <si>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</si>
  <si>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</si>
  <si>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</si>
  <si>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</si>
  <si>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</si>
  <si>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</si>
  <si>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</si>
  <si>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</si>
  <si>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</si>
  <si>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</si>
  <si>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</si>
  <si>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</si>
  <si>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</si>
  <si>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</si>
  <si>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</si>
  <si>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</si>
  <si>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</si>
  <si>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</si>
  <si>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</si>
  <si>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</si>
  <si>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</si>
  <si>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</si>
  <si>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</si>
  <si>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</si>
  <si>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</si>
  <si>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</si>
  <si>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</si>
  <si>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</si>
  <si>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</si>
  <si>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</si>
  <si>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</si>
  <si>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</si>
  <si>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</si>
  <si>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</si>
  <si>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</si>
  <si>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</si>
  <si>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</si>
  <si>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</si>
  <si>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</si>
  <si>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</si>
  <si>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</si>
  <si>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</si>
  <si>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</si>
  <si>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</si>
  <si>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</si>
  <si>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</si>
  <si>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</si>
  <si>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</si>
  <si>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</si>
  <si>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</si>
  <si>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</si>
  <si>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</si>
  <si>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</si>
  <si>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</si>
  <si>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</si>
  <si>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</si>
  <si>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</si>
  <si>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</si>
  <si>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</si>
  <si>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</si>
  <si>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</si>
  <si>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</si>
  <si>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</si>
  <si>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</si>
  <si>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</si>
  <si>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</si>
  <si>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</si>
  <si>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</si>
  <si>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</si>
  <si>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</si>
  <si>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</si>
  <si>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</si>
  <si>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</si>
  <si>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</si>
  <si>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</si>
  <si>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</si>
  <si>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</si>
  <si>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</si>
  <si>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</si>
  <si>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</si>
  <si>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</si>
  <si>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</si>
  <si>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</si>
  <si>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</si>
  <si>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</si>
  <si>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</si>
  <si>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</si>
  <si>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</si>
  <si>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</si>
  <si>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</si>
  <si>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</si>
  <si>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</si>
  <si>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</si>
  <si>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</si>
  <si>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</si>
  <si>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</si>
  <si>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</si>
  <si>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</si>
  <si>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</si>
  <si>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</si>
  <si>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</si>
  <si>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</si>
  <si>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</si>
  <si>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</si>
  <si>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</si>
  <si>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</si>
  <si>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</si>
  <si>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</si>
  <si>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</si>
  <si>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</si>
  <si>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</si>
  <si>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</si>
  <si>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</si>
  <si>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</si>
  <si>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</si>
  <si>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</si>
  <si>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</si>
  <si>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</si>
  <si>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</si>
  <si>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</si>
  <si>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</si>
  <si>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</si>
  <si>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</si>
  <si>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</si>
  <si>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</si>
  <si>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</si>
  <si>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</si>
  <si>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</si>
  <si>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</si>
  <si>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</si>
  <si>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</si>
  <si>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</si>
  <si>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</si>
  <si>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</si>
  <si>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</si>
  <si>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</si>
  <si>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</si>
  <si>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</si>
  <si>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</si>
  <si>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</si>
  <si>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</si>
  <si>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</si>
  <si>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</si>
  <si>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</si>
  <si>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</si>
  <si>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</si>
  <si>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</si>
  <si>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</si>
  <si>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</si>
  <si>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</si>
  <si>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</si>
  <si>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</si>
  <si>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</si>
  <si>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</si>
  <si>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</si>
  <si>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</si>
  <si>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</si>
  <si>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</si>
  <si>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</si>
  <si>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</si>
  <si>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</si>
  <si>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</si>
  <si>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</si>
  <si>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</si>
  <si>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</si>
  <si>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</si>
  <si>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</si>
  <si>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</si>
  <si>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</si>
  <si>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</si>
  <si>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</si>
  <si>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</si>
  <si>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</si>
  <si>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</si>
  <si>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</si>
  <si>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</si>
  <si>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</si>
  <si>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</si>
  <si>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</si>
  <si>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</si>
  <si>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</si>
  <si>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</si>
  <si>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</si>
  <si>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</si>
  <si>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</si>
  <si>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</si>
  <si>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</si>
  <si>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</si>
  <si>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</si>
  <si>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</si>
  <si>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</si>
  <si>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</si>
  <si>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</si>
  <si>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</si>
  <si>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</si>
  <si>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</si>
  <si>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</si>
  <si>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</si>
  <si>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</si>
  <si>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</si>
  <si>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</si>
  <si>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</si>
  <si>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</si>
  <si>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</si>
  <si>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</si>
  <si>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</si>
  <si>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</si>
  <si>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</si>
  <si>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</si>
  <si>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</si>
  <si>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</si>
  <si>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</si>
  <si>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</si>
  <si>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</si>
  <si>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</si>
  <si>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</si>
  <si>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</si>
  <si>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</si>
  <si>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</si>
  <si>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</si>
  <si>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</si>
  <si>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</si>
  <si>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</si>
  <si>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</si>
  <si>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</si>
  <si>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</si>
  <si>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</si>
  <si>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</si>
  <si>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</si>
  <si>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</si>
  <si>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</si>
  <si>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</si>
  <si>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</si>
  <si>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</si>
  <si>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</si>
  <si>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</si>
  <si>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</si>
  <si>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</si>
  <si>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</si>
  <si>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</si>
  <si>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</si>
  <si>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</si>
  <si>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</si>
  <si>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</si>
  <si>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</si>
  <si>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</si>
  <si>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</si>
  <si>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</si>
  <si>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</si>
  <si>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</si>
  <si>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</si>
  <si>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</si>
  <si>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</si>
  <si>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</si>
  <si>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</si>
  <si>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</si>
  <si>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</si>
  <si>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</si>
  <si>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</si>
  <si>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</si>
  <si>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</si>
  <si>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</si>
  <si>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</si>
  <si>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</si>
  <si>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</si>
  <si>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</si>
  <si>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</si>
  <si>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</si>
  <si>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</si>
  <si>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</si>
  <si>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</si>
  <si>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</si>
  <si>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</si>
  <si>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</si>
  <si>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</si>
  <si>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</si>
  <si>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</si>
  <si>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</si>
  <si>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</si>
  <si>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</si>
  <si>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</si>
  <si>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</si>
  <si>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</si>
  <si>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</si>
  <si>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</si>
  <si>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</si>
  <si>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</si>
  <si>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</si>
  <si>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</si>
  <si>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</si>
  <si>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</si>
  <si>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</si>
  <si>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</si>
  <si>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</si>
  <si>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</si>
  <si>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</si>
  <si>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</si>
  <si>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</si>
  <si>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</si>
  <si>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</si>
  <si>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</si>
  <si>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</si>
  <si>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</si>
  <si>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</si>
  <si>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</si>
  <si>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</si>
  <si>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</si>
  <si>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</si>
  <si>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</si>
  <si>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</si>
  <si>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</si>
  <si>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</si>
  <si>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</si>
  <si>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</si>
  <si>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</si>
  <si>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</si>
  <si>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</si>
  <si>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</si>
  <si>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</si>
  <si>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</si>
  <si>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</si>
  <si>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</si>
  <si>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</si>
  <si>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</si>
  <si>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</si>
  <si>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</si>
  <si>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</si>
  <si>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</si>
  <si>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</si>
  <si>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</si>
  <si>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</si>
  <si>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</si>
  <si>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</si>
  <si>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</si>
  <si>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</si>
  <si>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</si>
  <si>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</si>
  <si>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</si>
  <si>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</si>
  <si>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</si>
  <si>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</si>
  <si>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</si>
  <si>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</si>
  <si>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</si>
  <si>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</si>
  <si>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</si>
  <si>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</si>
  <si>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</si>
  <si>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</si>
  <si>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</si>
  <si>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</si>
  <si>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</si>
  <si>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</si>
  <si>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</si>
  <si>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</si>
  <si>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</si>
  <si>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</si>
  <si>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</si>
  <si>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</si>
  <si>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</si>
  <si>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</si>
  <si>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</si>
  <si>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</si>
  <si>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</si>
  <si>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</si>
  <si>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</si>
  <si>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</si>
  <si>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</si>
  <si>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</si>
  <si>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</si>
  <si>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</si>
  <si>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</si>
  <si>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</si>
  <si>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</si>
  <si>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</si>
  <si>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</si>
  <si>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</si>
  <si>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</si>
  <si>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</si>
  <si>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</si>
  <si>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</si>
  <si>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</si>
  <si>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</si>
  <si>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</si>
  <si>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</si>
  <si>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</si>
  <si>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</si>
  <si>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</si>
  <si>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</si>
  <si>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</si>
  <si>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</si>
  <si>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</si>
  <si>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</si>
  <si>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</si>
  <si>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</si>
  <si>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</si>
  <si>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</si>
  <si>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</si>
  <si>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</si>
  <si>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</si>
  <si>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</si>
  <si>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</si>
  <si>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</si>
  <si>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</si>
  <si>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</si>
  <si>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</si>
  <si>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</si>
  <si>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</si>
  <si>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</si>
  <si>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</si>
  <si>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</si>
  <si>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</si>
  <si>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</si>
  <si>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</si>
  <si>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</si>
  <si>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</si>
  <si>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</si>
  <si>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</si>
  <si>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</si>
  <si>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</si>
  <si>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</si>
  <si>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</si>
  <si>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</si>
  <si>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</si>
  <si>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</si>
  <si>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</si>
  <si>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</si>
  <si>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</si>
  <si>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</si>
  <si>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</si>
  <si>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</si>
  <si>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</si>
  <si>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</si>
  <si>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</si>
  <si>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</si>
  <si>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</si>
  <si>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</si>
  <si>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</si>
  <si>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</si>
  <si>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</si>
  <si>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</si>
  <si>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</si>
  <si>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</si>
  <si>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</si>
  <si>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</si>
  <si>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</si>
  <si>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</si>
  <si>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</si>
  <si>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</si>
  <si>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</si>
  <si>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</si>
  <si>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</si>
  <si>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</si>
  <si>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</si>
  <si>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</si>
  <si>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</si>
  <si>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</si>
  <si>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</si>
  <si>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</si>
  <si>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</si>
  <si>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</si>
  <si>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</si>
  <si>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</si>
  <si>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</si>
  <si>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</si>
  <si>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</si>
  <si>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</si>
  <si>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</si>
  <si>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</si>
  <si>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</si>
  <si>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</si>
  <si>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</si>
  <si>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</si>
  <si>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</si>
  <si>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</si>
  <si>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</si>
  <si>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</si>
  <si>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</si>
  <si>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</si>
  <si>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</si>
  <si>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</si>
  <si>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</si>
  <si>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</si>
  <si>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</si>
  <si>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</si>
  <si>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</si>
  <si>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</si>
  <si>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</si>
  <si>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</si>
  <si>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</si>
  <si>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</si>
  <si>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</si>
  <si>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</si>
  <si>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</si>
  <si>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</si>
  <si>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</si>
  <si>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</si>
  <si>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</si>
  <si>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</si>
  <si>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</si>
  <si>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</si>
  <si>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</si>
  <si>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</si>
  <si>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</si>
  <si>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</si>
  <si>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</si>
  <si>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</si>
  <si>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</si>
  <si>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</si>
  <si>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</si>
  <si>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</si>
  <si>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</si>
  <si>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</si>
  <si>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</si>
  <si>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</si>
  <si>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</si>
  <si>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</si>
  <si>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</si>
  <si>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</si>
  <si>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</si>
  <si>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</si>
  <si>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</si>
  <si>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</si>
  <si>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</si>
  <si>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</si>
  <si>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</si>
  <si>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</si>
  <si>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</si>
  <si>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</si>
  <si>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</si>
  <si>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</si>
  <si>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</si>
  <si>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</si>
  <si>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</si>
  <si>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</si>
  <si>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</si>
  <si>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</si>
  <si>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</si>
  <si>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</si>
  <si>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</si>
  <si>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</si>
  <si>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</si>
  <si>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</si>
  <si>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</si>
  <si>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</si>
  <si>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</si>
  <si>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</si>
  <si>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</si>
  <si>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</si>
  <si>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</si>
  <si>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</si>
  <si>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</si>
  <si>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</si>
  <si>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</si>
  <si>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</si>
  <si>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</si>
  <si>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</si>
  <si>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</si>
  <si>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</si>
  <si>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</si>
  <si>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</si>
  <si>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</si>
  <si>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</si>
  <si>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</si>
  <si>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</si>
  <si>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</si>
  <si>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</si>
  <si>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</si>
  <si>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</si>
  <si>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</si>
  <si>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</si>
  <si>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</si>
  <si>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</si>
  <si>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</si>
  <si>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</si>
  <si>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</si>
  <si>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</si>
  <si>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</si>
  <si>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</si>
  <si>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</si>
  <si>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</si>
  <si>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</si>
  <si>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</si>
  <si>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</si>
  <si>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</si>
  <si>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</si>
  <si>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</si>
  <si>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</si>
  <si>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</si>
  <si>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</si>
  <si>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</si>
  <si>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</si>
  <si>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</si>
  <si>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</si>
  <si>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</si>
  <si>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</si>
  <si>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</si>
  <si>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</si>
  <si>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</si>
  <si>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</si>
  <si>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</si>
  <si>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</si>
  <si>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</si>
  <si>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</si>
  <si>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</si>
  <si>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</si>
  <si>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</si>
  <si>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</si>
  <si>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</si>
  <si>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</si>
  <si>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</si>
  <si>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</si>
  <si>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</si>
  <si>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</si>
  <si>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</si>
  <si>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</si>
  <si>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</si>
  <si>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</si>
  <si>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</si>
  <si>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</si>
  <si>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</si>
  <si>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</si>
  <si>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</si>
  <si>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</si>
  <si>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</si>
  <si>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</si>
  <si>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</si>
  <si>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</si>
  <si>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</si>
  <si>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</si>
  <si>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</si>
  <si>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</si>
  <si>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</si>
  <si>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</si>
  <si>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</si>
  <si>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</si>
  <si>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</si>
  <si>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</si>
  <si>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</si>
  <si>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</si>
  <si>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</si>
  <si>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</si>
  <si>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</si>
  <si>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</si>
  <si>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</si>
  <si>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</si>
  <si>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</si>
  <si>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</si>
  <si>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</si>
  <si>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</si>
  <si>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</si>
  <si>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</si>
  <si>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</si>
  <si>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</si>
  <si>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</si>
  <si>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</si>
  <si>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</si>
  <si>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</si>
  <si>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</si>
  <si>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</si>
  <si>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</si>
  <si>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</si>
  <si>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</si>
  <si>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</si>
  <si>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</si>
  <si>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</si>
  <si>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</si>
  <si>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</si>
  <si>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</si>
  <si>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</si>
  <si>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</si>
  <si>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</si>
  <si>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</si>
  <si>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</si>
  <si>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</si>
  <si>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</si>
  <si>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</si>
  <si>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</si>
  <si>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</si>
  <si>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</si>
  <si>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</si>
  <si>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</si>
  <si>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</si>
  <si>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</si>
  <si>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</si>
  <si>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</si>
  <si>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</si>
  <si>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</si>
  <si>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</si>
  <si>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</si>
  <si>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</si>
  <si>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</si>
  <si>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</si>
  <si>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</si>
  <si>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</si>
  <si>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</si>
  <si>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</si>
  <si>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</si>
  <si>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</si>
  <si>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</si>
  <si>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</si>
  <si>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</si>
  <si>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</si>
  <si>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</si>
  <si>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</si>
  <si>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</si>
  <si>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</si>
  <si>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</si>
  <si>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</si>
  <si>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</si>
  <si>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</si>
  <si>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</si>
  <si>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</si>
  <si>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</si>
  <si>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</si>
  <si>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</si>
  <si>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</si>
  <si>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</si>
  <si>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</si>
  <si>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</si>
  <si>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</si>
  <si>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</si>
  <si>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</si>
  <si>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</si>
  <si>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</si>
  <si>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</si>
  <si>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</si>
  <si>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</si>
  <si>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</si>
  <si>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</si>
  <si>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</si>
  <si>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</si>
  <si>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</si>
  <si>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</si>
  <si>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</si>
  <si>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</si>
  <si>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</si>
  <si>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</si>
  <si>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</si>
  <si>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</si>
  <si>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</si>
  <si>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</si>
  <si>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</si>
  <si>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</si>
  <si>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</si>
  <si>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</si>
  <si>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</si>
  <si>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</si>
  <si>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</si>
  <si>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</si>
  <si>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</si>
  <si>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</si>
  <si>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</si>
  <si>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</si>
  <si>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</si>
  <si>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</si>
  <si>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</si>
  <si>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</si>
  <si>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</si>
  <si>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</si>
  <si>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</si>
  <si>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</si>
  <si>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</si>
  <si>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</si>
  <si>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</si>
  <si>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</si>
  <si>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</si>
  <si>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</si>
  <si>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</si>
  <si>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</si>
  <si>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</si>
  <si>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</si>
  <si>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</si>
  <si>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</si>
  <si>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</si>
  <si>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</si>
  <si>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</si>
  <si>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</si>
  <si>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</si>
  <si>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</si>
  <si>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</si>
  <si>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</si>
  <si>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</si>
  <si>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</si>
  <si>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</si>
  <si>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</si>
  <si>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</si>
  <si>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</si>
  <si>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</si>
  <si>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</si>
  <si>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</si>
  <si>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</si>
  <si>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</si>
  <si>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</si>
  <si>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</si>
  <si>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</si>
  <si>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</si>
  <si>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</si>
  <si>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</si>
  <si>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</si>
  <si>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</si>
  <si>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</si>
  <si>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</si>
  <si>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</si>
  <si>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</si>
  <si>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</si>
  <si>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</si>
  <si>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</si>
  <si>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</si>
  <si>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</si>
  <si>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</si>
  <si>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</si>
  <si>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</si>
  <si>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</si>
  <si>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</si>
  <si>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</si>
  <si>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</si>
  <si>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</si>
  <si>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</si>
  <si>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</si>
  <si>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</si>
  <si>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</si>
  <si>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</si>
  <si>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</si>
  <si>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</si>
  <si>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</si>
  <si>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</si>
  <si>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</si>
  <si>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</si>
  <si>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</si>
  <si>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</si>
  <si>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</si>
  <si>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</si>
  <si>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</si>
  <si>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</si>
  <si>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</si>
  <si>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</si>
  <si>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</si>
  <si>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</si>
  <si>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</si>
  <si>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</si>
  <si>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</si>
  <si>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</si>
  <si>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</si>
  <si>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</si>
  <si>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</si>
  <si>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</si>
  <si>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</si>
  <si>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</si>
  <si>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</si>
  <si>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</si>
  <si>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</si>
  <si>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</si>
  <si>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</si>
  <si>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</si>
  <si>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</si>
  <si>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</si>
  <si>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</si>
  <si>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</si>
  <si>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</si>
  <si>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</si>
  <si>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</si>
  <si>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</si>
  <si>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</si>
  <si>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</si>
  <si>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</si>
  <si>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</si>
  <si>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</si>
  <si>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</si>
  <si>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</si>
  <si>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</si>
  <si>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</si>
  <si>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</si>
  <si>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</si>
  <si>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</si>
  <si>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</si>
  <si>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</si>
  <si>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</si>
  <si>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</si>
  <si>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</si>
  <si>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</si>
  <si>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</si>
  <si>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</si>
  <si>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</si>
  <si>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</si>
  <si>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</si>
  <si>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</si>
  <si>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</si>
  <si>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</si>
  <si>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</si>
  <si>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</si>
  <si>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</si>
  <si>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</si>
  <si>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</si>
  <si>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</si>
  <si>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</si>
  <si>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</si>
  <si>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</si>
  <si>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</si>
  <si>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</si>
  <si>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</si>
  <si>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</si>
  <si>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</si>
  <si>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</si>
  <si>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</si>
  <si>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</si>
  <si>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</si>
  <si>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</si>
  <si>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</si>
  <si>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</si>
  <si>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</si>
  <si>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</si>
  <si>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</si>
  <si>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</si>
  <si>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</si>
  <si>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</si>
  <si>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</si>
  <si>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</si>
  <si>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</si>
  <si>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</si>
  <si>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</si>
  <si>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</si>
  <si>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</si>
  <si>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</si>
  <si>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</si>
  <si>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</si>
  <si>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</si>
  <si>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</si>
  <si>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</si>
  <si>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</si>
  <si>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</si>
  <si>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</si>
  <si>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</si>
  <si>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</si>
  <si>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</si>
  <si>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</si>
  <si>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</si>
  <si>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</si>
  <si>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</si>
  <si>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</si>
  <si>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</si>
  <si>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</si>
  <si>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</si>
  <si>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</si>
  <si>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</si>
  <si>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</si>
  <si>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</si>
  <si>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</si>
  <si>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</si>
  <si>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</si>
  <si>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</si>
  <si>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</si>
  <si>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</si>
  <si>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</si>
  <si>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</si>
  <si>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</si>
  <si>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</si>
  <si>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</si>
  <si>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</si>
  <si>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</si>
  <si>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</si>
  <si>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</si>
  <si>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</si>
  <si>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</si>
  <si>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</si>
  <si>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</si>
  <si>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</si>
  <si>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</si>
  <si>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</si>
  <si>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</si>
  <si>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</si>
  <si>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</si>
  <si>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</si>
  <si>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</si>
  <si>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</si>
  <si>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</si>
  <si>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</si>
  <si>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</si>
  <si>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</si>
  <si>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</si>
  <si>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</si>
  <si>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</si>
  <si>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</si>
  <si>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</si>
  <si>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</si>
  <si>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</si>
  <si>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</si>
  <si>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</si>
  <si>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</si>
  <si>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</si>
  <si>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</si>
  <si>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</si>
  <si>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</si>
  <si>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</si>
  <si>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</si>
  <si>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</si>
  <si>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</si>
  <si>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</si>
  <si>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</si>
  <si>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</si>
  <si>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</si>
  <si>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</si>
  <si>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</si>
  <si>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</si>
  <si>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</si>
  <si>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</si>
  <si>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</si>
  <si>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</si>
  <si>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</si>
  <si>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</si>
  <si>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</si>
  <si>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</si>
  <si>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</si>
  <si>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</si>
  <si>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</si>
  <si>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</si>
  <si>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</si>
  <si>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</si>
  <si>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</si>
  <si>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</si>
  <si>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</si>
  <si>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</si>
  <si>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</si>
  <si>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</si>
  <si>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</si>
  <si>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</si>
  <si>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</si>
  <si>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</si>
  <si>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</si>
  <si>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</si>
  <si>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</si>
  <si>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</si>
  <si>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</si>
  <si>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</si>
  <si>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</si>
  <si>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</si>
  <si>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</si>
  <si>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</si>
  <si>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</si>
  <si>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</si>
  <si>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</si>
  <si>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</si>
  <si>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</si>
  <si>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</si>
  <si>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</si>
  <si>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</si>
  <si>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</si>
  <si>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</si>
  <si>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</si>
  <si>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</si>
  <si>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</si>
  <si>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</si>
  <si>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</si>
  <si>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</si>
  <si>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</si>
  <si>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</si>
  <si>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</si>
  <si>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</si>
  <si>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</si>
  <si>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</si>
  <si>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</si>
  <si>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</si>
  <si>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</si>
  <si>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</si>
  <si>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</si>
  <si>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</si>
  <si>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</si>
  <si>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</si>
  <si>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</si>
  <si>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</si>
  <si>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</si>
  <si>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</si>
  <si>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</si>
  <si>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</si>
  <si>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</si>
  <si>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</si>
  <si>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</si>
  <si>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</si>
  <si>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</si>
  <si>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</si>
  <si>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</si>
  <si>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</si>
  <si>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</si>
  <si>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</si>
  <si>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</si>
  <si>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</si>
  <si>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</si>
  <si>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</si>
  <si>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</si>
  <si>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</si>
  <si>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</si>
  <si>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</si>
  <si>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</si>
  <si>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</si>
  <si>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</si>
  <si>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</si>
  <si>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</si>
  <si>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</si>
  <si>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</si>
  <si>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</si>
  <si>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</si>
  <si>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</si>
  <si>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</si>
  <si>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</si>
  <si>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</si>
  <si>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</si>
  <si>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</si>
  <si>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</si>
  <si>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</si>
  <si>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</si>
  <si>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</si>
  <si>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</si>
  <si>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</si>
  <si>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</si>
  <si>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</si>
  <si>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</si>
  <si>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</si>
  <si>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</si>
  <si>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</si>
  <si>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</si>
  <si>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</si>
  <si>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</si>
  <si>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</si>
  <si>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</si>
  <si>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</si>
  <si>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</si>
  <si>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</si>
  <si>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</si>
  <si>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</si>
  <si>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</si>
  <si>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</si>
  <si>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</si>
  <si>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</si>
  <si>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</si>
  <si>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</si>
  <si>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</si>
  <si>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</si>
  <si>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</si>
  <si>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</si>
  <si>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</si>
  <si>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</si>
  <si>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</si>
  <si>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</si>
  <si>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</si>
  <si>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</si>
  <si>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</si>
  <si>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</si>
  <si>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</si>
  <si>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</si>
  <si>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</si>
  <si>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</si>
  <si>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</si>
  <si>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</si>
  <si>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</si>
  <si>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</si>
  <si>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</si>
  <si>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</si>
  <si>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</si>
  <si>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</si>
  <si>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</si>
  <si>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</si>
  <si>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</si>
  <si>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</si>
  <si>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</si>
  <si>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</si>
  <si>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</si>
  <si>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</si>
  <si>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</si>
  <si>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</si>
  <si>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</si>
  <si>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</si>
  <si>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</si>
  <si>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</si>
  <si>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</si>
  <si>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</si>
  <si>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</si>
  <si>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</si>
  <si>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</si>
  <si>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</si>
  <si>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</si>
  <si>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</si>
  <si>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</si>
  <si>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</si>
  <si>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</si>
  <si>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</si>
  <si>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</si>
  <si>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</si>
  <si>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</si>
  <si>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</si>
  <si>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</si>
  <si>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</si>
  <si>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</si>
  <si>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</si>
  <si>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</si>
  <si>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</si>
  <si>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</si>
  <si>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</si>
  <si>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</si>
  <si>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</si>
  <si>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</si>
  <si>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</si>
  <si>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</si>
  <si>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</si>
  <si>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</si>
  <si>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</si>
  <si>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</si>
  <si>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</si>
  <si>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</si>
  <si>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</si>
  <si>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</si>
  <si>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</si>
  <si>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</si>
  <si>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</si>
  <si>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</si>
  <si>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</si>
  <si>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</si>
  <si>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</si>
  <si>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</si>
  <si>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</si>
  <si>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</si>
  <si>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</si>
  <si>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</si>
  <si>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</si>
  <si>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</si>
  <si>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</si>
  <si>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</si>
  <si>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</si>
  <si>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</si>
  <si>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</si>
  <si>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</si>
  <si>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</si>
  <si>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</si>
  <si>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</si>
  <si>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</si>
  <si>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</si>
  <si>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</si>
  <si>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</si>
  <si>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</si>
  <si>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</si>
  <si>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</si>
  <si>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</si>
  <si>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</si>
  <si>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</si>
  <si>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</si>
  <si>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</si>
  <si>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</si>
  <si>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</si>
  <si>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</si>
  <si>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</si>
  <si>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</si>
  <si>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</si>
  <si>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</si>
  <si>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</si>
  <si>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</si>
  <si>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</si>
  <si>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</si>
  <si>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</si>
  <si>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</si>
  <si>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</si>
  <si>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</si>
  <si>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</si>
  <si>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</si>
  <si>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</si>
  <si>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</si>
  <si>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</si>
  <si>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</si>
  <si>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</si>
  <si>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</si>
  <si>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</si>
  <si>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</si>
  <si>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</si>
  <si>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</si>
  <si>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</si>
  <si>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</si>
  <si>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</si>
  <si>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</si>
  <si>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</si>
  <si>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</si>
  <si>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</si>
  <si>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</si>
  <si>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</si>
  <si>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</si>
  <si>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</si>
  <si>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</si>
  <si>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</si>
  <si>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</si>
  <si>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</si>
  <si>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</si>
  <si>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</si>
  <si>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</si>
  <si>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</si>
  <si>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</si>
  <si>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</si>
  <si>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</si>
  <si>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</si>
  <si>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</si>
  <si>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</si>
  <si>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</si>
  <si>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</si>
  <si>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</si>
  <si>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</si>
  <si>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</si>
  <si>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</si>
  <si>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</si>
  <si>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</si>
  <si>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</si>
  <si>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</si>
  <si>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</si>
  <si>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</si>
  <si>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</si>
  <si>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</si>
  <si>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</si>
  <si>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</si>
  <si>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</si>
  <si>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</si>
  <si>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</si>
  <si>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</si>
  <si>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</si>
  <si>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</si>
  <si>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</si>
  <si>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</si>
  <si>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</si>
  <si>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</si>
  <si>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</si>
  <si>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</si>
  <si>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</si>
  <si>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</si>
  <si>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</si>
  <si>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</si>
  <si>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</si>
  <si>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</si>
  <si>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</si>
  <si>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</si>
  <si>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</si>
  <si>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</si>
  <si>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</si>
  <si>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</si>
  <si>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</si>
  <si>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</si>
  <si>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</si>
  <si>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</si>
  <si>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</si>
  <si>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</si>
  <si>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</si>
  <si>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</si>
  <si>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</si>
  <si>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</si>
  <si>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</si>
  <si>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</si>
  <si>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</si>
  <si>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</si>
  <si>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</si>
  <si>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</si>
  <si>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</si>
  <si>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</si>
  <si>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</si>
  <si>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</si>
  <si>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</si>
  <si>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</si>
  <si>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</si>
  <si>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</si>
  <si>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</si>
  <si>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</si>
  <si>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</si>
  <si>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</si>
  <si>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</si>
  <si>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</si>
  <si>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</si>
  <si>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</si>
  <si>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</si>
  <si>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</si>
  <si>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</si>
  <si>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</si>
  <si>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</si>
  <si>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</si>
  <si>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</si>
  <si>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</si>
  <si>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</si>
  <si>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</si>
  <si>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</si>
  <si>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</si>
  <si>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</si>
  <si>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</si>
  <si>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</si>
  <si>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</si>
  <si>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</si>
  <si>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</si>
  <si>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</si>
  <si>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</si>
  <si>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</si>
  <si>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</si>
  <si>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</si>
  <si>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</si>
  <si>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</si>
  <si>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</si>
  <si>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</si>
  <si>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</si>
  <si>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</si>
  <si>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</si>
  <si>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</si>
  <si>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</si>
  <si>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</si>
  <si>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</si>
  <si>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</si>
  <si>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</si>
  <si>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</si>
  <si>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</si>
  <si>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</si>
  <si>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</si>
  <si>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</si>
  <si>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</si>
  <si>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</si>
  <si>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</si>
  <si>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</si>
  <si>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</si>
  <si>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</si>
  <si>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</si>
  <si>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</si>
  <si>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</si>
  <si>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</si>
  <si>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</si>
  <si>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</si>
  <si>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</si>
  <si>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</si>
  <si>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</si>
  <si>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</si>
  <si>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</si>
  <si>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</si>
  <si>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</si>
  <si>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</si>
  <si>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</si>
  <si>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</si>
  <si>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</si>
  <si>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</si>
  <si>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</si>
  <si>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</si>
  <si>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</si>
  <si>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</si>
  <si>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</si>
  <si>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</si>
  <si>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</si>
  <si>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</si>
  <si>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</si>
  <si>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</si>
  <si>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</si>
  <si>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</si>
  <si>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</si>
  <si>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</si>
  <si>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</si>
  <si>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</si>
  <si>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</si>
  <si>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</si>
  <si>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</si>
  <si>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</si>
  <si>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</si>
  <si>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</si>
  <si>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</si>
  <si>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</si>
  <si>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</si>
  <si>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</si>
  <si>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</si>
  <si>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</si>
  <si>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</si>
  <si>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</si>
  <si>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</si>
  <si>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</si>
  <si>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</si>
  <si>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</si>
  <si>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</si>
  <si>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</si>
  <si>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</si>
  <si>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</si>
  <si>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</si>
  <si>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</si>
  <si>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</si>
  <si>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</si>
  <si>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</si>
  <si>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</si>
  <si>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</si>
  <si>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</si>
  <si>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</si>
  <si>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</si>
  <si>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</si>
  <si>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</si>
  <si>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</si>
  <si>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</si>
  <si>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</si>
  <si>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</si>
  <si>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</si>
  <si>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</si>
  <si>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</si>
  <si>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</si>
  <si>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</si>
  <si>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</si>
  <si>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</si>
  <si>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</si>
  <si>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</si>
  <si>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</si>
  <si>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</si>
  <si>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</si>
  <si>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</si>
  <si>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</si>
  <si>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</si>
  <si>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</si>
  <si>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</si>
  <si>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</si>
  <si>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</si>
  <si>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</si>
  <si>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</si>
  <si>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</si>
  <si>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</si>
  <si>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</si>
  <si>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</si>
  <si>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</si>
  <si>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</si>
  <si>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</si>
  <si>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</si>
  <si>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</si>
  <si>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</si>
  <si>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</si>
  <si>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</si>
  <si>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</si>
  <si>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</si>
  <si>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</si>
  <si>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</si>
  <si>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</si>
  <si>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</si>
  <si>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</si>
  <si>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</si>
  <si>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</si>
  <si>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</si>
  <si>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</si>
  <si>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</si>
  <si>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</si>
  <si>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</si>
  <si>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</si>
  <si>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</si>
  <si>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</si>
  <si>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</si>
  <si>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</si>
  <si>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</si>
  <si>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</si>
  <si>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</si>
  <si>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</si>
  <si>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</si>
  <si>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</si>
  <si>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</si>
  <si>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</si>
  <si>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</si>
  <si>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</si>
  <si>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</si>
  <si>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</si>
  <si>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</si>
  <si>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</si>
  <si>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</si>
  <si>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</si>
  <si>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</si>
  <si>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</si>
  <si>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</si>
  <si>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</si>
  <si>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</si>
  <si>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</si>
  <si>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</si>
  <si>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</si>
  <si>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</si>
  <si>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</si>
  <si>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</si>
  <si>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</si>
  <si>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</si>
  <si>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</si>
  <si>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</si>
  <si>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</si>
  <si>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</si>
  <si>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</si>
  <si>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</si>
  <si>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</si>
  <si>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</si>
  <si>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</si>
  <si>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</si>
  <si>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</si>
  <si>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</si>
  <si>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</si>
  <si>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</si>
  <si>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</si>
  <si>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</si>
  <si>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</si>
  <si>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</si>
  <si>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</si>
  <si>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</si>
  <si>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</si>
  <si>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</si>
  <si>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</si>
  <si>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</si>
  <si>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</si>
  <si>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</si>
  <si>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</si>
  <si>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</si>
  <si>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</si>
  <si>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</si>
  <si>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</si>
  <si>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</si>
  <si>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</si>
  <si>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</si>
  <si>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</si>
  <si>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</si>
  <si>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</si>
  <si>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</si>
  <si>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</si>
  <si>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</si>
  <si>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</si>
  <si>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</si>
  <si>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</si>
  <si>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</si>
  <si>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</si>
  <si>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</si>
  <si>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</si>
  <si>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</si>
  <si>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</si>
  <si>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</si>
  <si>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</si>
  <si>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</si>
  <si>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</si>
  <si>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</si>
  <si>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</si>
  <si>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</si>
  <si>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</si>
  <si>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</si>
  <si>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</si>
  <si>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</si>
  <si>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</si>
  <si>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</si>
  <si>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</si>
  <si>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</si>
  <si>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</si>
  <si>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</si>
  <si>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</si>
  <si>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</si>
  <si>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</si>
  <si>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</si>
  <si>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</si>
  <si>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</si>
  <si>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</si>
  <si>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</si>
  <si>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</si>
  <si>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</si>
  <si>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</si>
  <si>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</si>
  <si>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</si>
  <si>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</si>
  <si>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</si>
  <si>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</si>
  <si>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</si>
  <si>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</si>
  <si>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</si>
  <si>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</si>
  <si>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</si>
  <si>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</si>
  <si>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</si>
  <si>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</si>
  <si>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</si>
  <si>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</si>
  <si>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</si>
  <si>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</si>
  <si>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</si>
  <si>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</si>
  <si>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</si>
  <si>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</si>
  <si>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</si>
  <si>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</si>
  <si>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</si>
  <si>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</si>
  <si>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</si>
  <si>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</si>
  <si>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</si>
  <si>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</si>
  <si>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</si>
  <si>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</si>
  <si>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</si>
  <si>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</si>
  <si>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</si>
  <si>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</si>
  <si>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</si>
  <si>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</si>
  <si>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</si>
  <si>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</si>
  <si>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</si>
  <si>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</si>
  <si>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</si>
  <si>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</si>
  <si>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</si>
  <si>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</si>
  <si>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</si>
  <si>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</si>
  <si>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</si>
  <si>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</si>
  <si>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</si>
  <si>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</si>
  <si>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</si>
  <si>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</si>
  <si>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</si>
  <si>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</si>
  <si>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</si>
  <si>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</si>
  <si>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</si>
  <si>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</si>
  <si>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</si>
  <si>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</si>
  <si>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</si>
  <si>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</si>
  <si>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</si>
  <si>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</si>
  <si>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</si>
  <si>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</si>
  <si>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</si>
  <si>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</si>
  <si>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</si>
  <si>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</si>
  <si>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</si>
  <si>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</si>
  <si>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</si>
  <si>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</si>
  <si>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</si>
  <si>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</si>
  <si>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</si>
  <si>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</si>
  <si>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</si>
  <si>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</si>
  <si>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</si>
  <si>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</si>
  <si>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</si>
  <si>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</si>
  <si>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</si>
  <si>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</si>
  <si>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</si>
  <si>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</si>
  <si>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</si>
  <si>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</si>
  <si>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</si>
  <si>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</si>
  <si>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</si>
  <si>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</si>
  <si>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</si>
  <si>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</si>
  <si>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</si>
  <si>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</si>
  <si>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</si>
  <si>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</si>
  <si>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</si>
  <si>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</si>
  <si>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</si>
  <si>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</si>
  <si>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</si>
  <si>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</si>
  <si>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</si>
  <si>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</si>
  <si>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</si>
  <si>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</si>
  <si>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</si>
  <si>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</si>
  <si>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</si>
  <si>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</si>
  <si>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</si>
  <si>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</si>
  <si>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</si>
  <si>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</si>
  <si>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</si>
  <si>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</si>
  <si>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</si>
  <si>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</si>
  <si>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</si>
  <si>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</si>
  <si>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</si>
  <si>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</si>
  <si>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</si>
  <si>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</si>
  <si>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</si>
  <si>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</si>
  <si>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</si>
  <si>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</si>
  <si>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</si>
  <si>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</si>
  <si>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</si>
  <si>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</si>
  <si>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</si>
  <si>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</si>
  <si>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</si>
  <si>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</si>
  <si>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</si>
  <si>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</si>
  <si>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</si>
  <si>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</si>
  <si>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</si>
  <si>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</si>
  <si>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</si>
  <si>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</si>
  <si>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</si>
  <si>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</si>
  <si>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</si>
  <si>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</si>
  <si>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</si>
  <si>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</si>
  <si>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</si>
  <si>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</si>
  <si>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</si>
  <si>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</si>
  <si>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</si>
  <si>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</si>
  <si>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</si>
  <si>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</si>
  <si>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</si>
  <si>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</si>
  <si>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</si>
  <si>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</si>
  <si>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</si>
  <si>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</si>
  <si>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</si>
  <si>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</si>
  <si>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</si>
  <si>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</si>
  <si>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</si>
  <si>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</si>
  <si>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</si>
  <si>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</si>
  <si>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</si>
  <si>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</si>
  <si>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</si>
  <si>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</si>
  <si>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</si>
  <si>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</si>
  <si>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</si>
  <si>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</si>
  <si>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</si>
  <si>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</si>
  <si>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</si>
  <si>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</si>
  <si>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</si>
  <si>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</si>
  <si>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</si>
  <si>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</si>
  <si>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</si>
  <si>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</si>
  <si>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</si>
  <si>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</si>
  <si>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</si>
  <si>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</si>
  <si>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</si>
  <si>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</si>
  <si>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</si>
  <si>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</si>
  <si>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</si>
  <si>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</si>
  <si>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</si>
  <si>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</si>
  <si>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</si>
  <si>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</si>
  <si>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</si>
  <si>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</si>
  <si>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</si>
  <si>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</si>
  <si>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</si>
  <si>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</si>
  <si>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</si>
  <si>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</si>
  <si>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</si>
  <si>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</si>
  <si>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</si>
  <si>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</si>
  <si>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</si>
  <si>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</si>
  <si>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</si>
  <si>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</si>
  <si>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</si>
  <si>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</si>
  <si>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</si>
  <si>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</si>
  <si>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</si>
  <si>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</si>
  <si>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</si>
  <si>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</si>
  <si>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</si>
  <si>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</si>
  <si>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</si>
  <si>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</si>
  <si>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</si>
  <si>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</si>
  <si>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</si>
  <si>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</si>
  <si>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</si>
  <si>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</si>
  <si>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</si>
  <si>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</si>
  <si>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</si>
  <si>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</si>
  <si>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</si>
  <si>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</si>
  <si>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</si>
  <si>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</si>
  <si>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</si>
  <si>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</si>
  <si>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</si>
  <si>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</si>
  <si>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</si>
  <si>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</si>
  <si>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</si>
  <si>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</si>
  <si>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</si>
  <si>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</si>
  <si>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</si>
  <si>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</si>
  <si>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</si>
  <si>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</si>
  <si>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</si>
  <si>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</si>
  <si>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</si>
  <si>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</si>
  <si>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</si>
  <si>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</si>
  <si>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</si>
  <si>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</si>
  <si>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</si>
  <si>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</si>
  <si>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</si>
  <si>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</si>
  <si>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</si>
  <si>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</si>
  <si>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</si>
  <si>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</si>
  <si>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</si>
  <si>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</si>
  <si>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</si>
  <si>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</si>
  <si>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</si>
  <si>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</si>
  <si>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</si>
  <si>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</si>
  <si>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</si>
  <si>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</si>
  <si>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</si>
  <si>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</si>
  <si>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</si>
  <si>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</si>
  <si>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</si>
  <si>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</si>
  <si>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</si>
  <si>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</si>
  <si>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</si>
  <si>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</si>
  <si>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</si>
  <si>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</si>
  <si>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</si>
  <si>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</si>
  <si>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</si>
  <si>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</si>
  <si>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</si>
  <si>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</si>
  <si>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</si>
  <si>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</si>
  <si>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</si>
  <si>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</si>
  <si>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</si>
  <si>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</si>
  <si>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</si>
  <si>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</si>
  <si>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</si>
  <si>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</si>
  <si>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</si>
  <si>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</si>
  <si>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</si>
  <si>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</si>
  <si>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</si>
  <si>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</si>
  <si>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</si>
  <si>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</si>
  <si>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</si>
  <si>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</si>
  <si>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</si>
  <si>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</si>
  <si>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</si>
  <si>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</si>
  <si>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</si>
  <si>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</si>
  <si>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</si>
  <si>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</si>
  <si>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</si>
  <si>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</si>
  <si>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</si>
  <si>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</si>
  <si>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</si>
  <si>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</si>
  <si>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</si>
  <si>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</si>
  <si>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</si>
  <si>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</si>
  <si>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</si>
  <si>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</si>
  <si>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</si>
  <si>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</si>
  <si>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</si>
  <si>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</si>
  <si>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</si>
  <si>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</si>
  <si>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</si>
  <si>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</si>
  <si>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</si>
  <si>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</si>
  <si>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</si>
  <si>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</si>
  <si>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</si>
  <si>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</si>
  <si>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</si>
  <si>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</si>
  <si>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</si>
  <si>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</si>
  <si>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</si>
  <si>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</si>
  <si>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</si>
  <si>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</si>
  <si>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</si>
  <si>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</si>
  <si>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</si>
  <si>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</si>
  <si>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</si>
  <si>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</si>
  <si>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</si>
  <si>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</si>
  <si>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</si>
  <si>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</si>
  <si>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</si>
  <si>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</si>
  <si>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</si>
  <si>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</si>
  <si>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</si>
  <si>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</si>
  <si>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</si>
  <si>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</si>
  <si>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</si>
  <si>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</si>
  <si>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</si>
  <si>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</si>
  <si>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</si>
  <si>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</si>
  <si>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</si>
  <si>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</si>
  <si>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</si>
  <si>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</si>
  <si>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</si>
  <si>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</si>
  <si>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</si>
  <si>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</si>
  <si>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</si>
  <si>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</si>
  <si>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</si>
  <si>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</si>
  <si>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</si>
  <si>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</si>
  <si>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</si>
  <si>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</si>
  <si>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</si>
  <si>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</si>
  <si>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</si>
  <si>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</si>
  <si>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</si>
  <si>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</si>
  <si>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</si>
  <si>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</si>
  <si>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</si>
  <si>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</si>
  <si>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</si>
  <si>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</si>
  <si>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</si>
  <si>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</si>
  <si>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</si>
  <si>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</si>
  <si>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</si>
  <si>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</si>
  <si>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</si>
  <si>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</si>
  <si>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</si>
  <si>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</si>
  <si>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</si>
  <si>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</si>
  <si>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</si>
  <si>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</si>
  <si>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</si>
  <si>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</si>
  <si>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</si>
  <si>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</si>
  <si>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</si>
  <si>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</si>
  <si>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</si>
  <si>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</si>
  <si>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</si>
  <si>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</si>
  <si>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</si>
  <si>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</si>
  <si>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</si>
  <si>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</si>
  <si>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</si>
  <si>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</si>
  <si>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</si>
  <si>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</si>
  <si>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</si>
  <si>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</si>
  <si>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</si>
  <si>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</si>
  <si>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</si>
  <si>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</si>
  <si>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</si>
  <si>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</si>
  <si>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</si>
  <si>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</si>
  <si>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</si>
  <si>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</si>
  <si>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</si>
  <si>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</si>
  <si>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</si>
  <si>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</si>
  <si>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</si>
  <si>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</si>
  <si>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</si>
  <si>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</si>
  <si>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</si>
  <si>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</si>
  <si>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</si>
  <si>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</si>
  <si>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</si>
  <si>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</si>
  <si>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</si>
  <si>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</si>
  <si>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</si>
  <si>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</si>
  <si>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</si>
  <si>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Jan</t>
  </si>
  <si>
    <t>Feb</t>
  </si>
  <si>
    <t>Jun</t>
  </si>
  <si>
    <t>Jul</t>
  </si>
  <si>
    <t>Aug</t>
  </si>
  <si>
    <t>Sep</t>
  </si>
  <si>
    <t>Oct</t>
  </si>
  <si>
    <t>Nov</t>
  </si>
  <si>
    <t>Dec</t>
  </si>
  <si>
    <t>Years (Order Date)</t>
  </si>
  <si>
    <t>Months (Order Date)</t>
  </si>
  <si>
    <t>Arabica</t>
  </si>
  <si>
    <t>Excelsa</t>
  </si>
  <si>
    <t>Liberica</t>
  </si>
  <si>
    <t>Robusta</t>
  </si>
  <si>
    <t>Sum of Sales</t>
  </si>
  <si>
    <t>Mar</t>
  </si>
  <si>
    <t>Apr</t>
  </si>
  <si>
    <t>May</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</si>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</sst>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E&quot;* #,##0.00_-;\-&quot;E&quot;* #,##0.00_-;_-&quot;E&quot;* &quot;-&quot;??_-;_-@_-"/>
    <numFmt numFmtId="164" formatCode="0.0"/>
    <numFmt numFmtId="165" formatCode="dd\.mmm\.yyyy"/>
    <numFmt numFmtId="166" formatCode="0.0\ &quot;kg&quot;"/>
    <numFmt numFmtId="167" formatCode="&quot;E&quot;#,##0.00"/>
    <numFmt numFmtId="169" formatCode="_-[$$-409]* #,##0.00_ ;_-[$$-409]* \-#,##0.00\ ;_-[$$-409]* &quot;-&quot;??_ ;_-@_ "/>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3" fontId="0" fillId="0" borderId="0" xfId="0" applyNumberFormat="1"/>
    <xf numFmtId="169" fontId="0" fillId="0" borderId="0" xfId="0" applyNumberFormat="1"/>
    <xf numFmtId="169" fontId="0" fillId="0" borderId="0" xfId="1" applyNumberFormat="1" applyFont="1"/>
  </cellXfs>
  <cellStyles count="2">
    <cellStyle name="Currency" xfId="1" builtinId="4"/>
    <cellStyle name="Normal" xfId="0" builtinId="0"/>
  </cellStyles>
  <dxfs count="39">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7" formatCode="&quot;E&quot;#,##0.00"/>
    </dxf>
    <dxf>
      <numFmt numFmtId="167" formatCode="&quot;E&quot;#,##0.00"/>
    </dxf>
    <dxf>
      <numFmt numFmtId="169" formatCode="_-[$$-409]* #,##0.00_ ;_-[$$-409]* \-#,##0.00\ ;_-[$$-409]* &quot;-&quot;??_ ;_-@_ "/>
    </dxf>
    <dxf>
      <numFmt numFmtId="167" formatCode="&quot;E&quot;#,##0.00"/>
    </dxf>
    <dxf>
      <numFmt numFmtId="167" formatCode="&quot;E&quot;#,##0.00"/>
    </dxf>
    <dxf>
      <numFmt numFmtId="167" formatCode="&quot;E&quot;#,##0.00"/>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6" formatCode="0.0\ &quot;kg&quot;"/>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2"/>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Light"/>
        <family val="2"/>
        <scheme val="major"/>
      </font>
    </dxf>
    <dxf>
      <font>
        <b val="0"/>
        <i val="0"/>
        <sz val="10"/>
        <color theme="0"/>
        <name val="Calibri"/>
        <family val="2"/>
        <scheme val="minor"/>
      </font>
      <fill>
        <patternFill>
          <bgColor rgb="FF3C1464"/>
        </patternFill>
      </fill>
    </dxf>
  </dxfs>
  <tableStyles count="2" defaultTableStyle="TableStyleMedium2" defaultPivotStyle="PivotStyleMedium9">
    <tableStyle name="purple slicer" pivot="0" table="0" count="6" xr9:uid="{D0B923E0-62B9-4C20-8F6F-6F8E3202356F}">
      <tableStyleElement type="wholeTable" dxfId="38"/>
      <tableStyleElement type="headerRow" dxfId="37"/>
    </tableStyle>
    <tableStyle name="Purple Timeline Style" pivot="0" table="0" count="8" xr9:uid="{A03BCC31-3868-4161-B761-BAF9C67F4447}">
      <tableStyleElement type="wholeTable" dxfId="36"/>
      <tableStyleElement type="headerRow" dxfId="35"/>
    </tableStyle>
  </tableStyles>
  <colors>
    <mruColors>
      <color rgb="FF3C1464"/>
      <color rgb="FF69FFAD"/>
      <color rgb="FF0DFF7A"/>
      <color rgb="FF003217"/>
      <color rgb="FFE5D5F7"/>
      <color rgb="FF9249DB"/>
      <color rgb="FF78370A"/>
      <color rgb="FF32170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auto="1"/>
            </left>
            <right style="thin">
              <color auto="1"/>
            </right>
            <top style="thin">
              <color auto="1"/>
            </top>
            <bottom style="thin">
              <color auto="1"/>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249DB"/>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(Data Analysis).xlsx]Total Sales!TotalSales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SZ"/>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8370A"/>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837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837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S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45725352462059E-2"/>
          <c:y val="0.11721447195346091"/>
          <c:w val="0.80096856931575477"/>
          <c:h val="0.74059993400755775"/>
        </c:manualLayout>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7E1-4AAC-88F4-097879A3687E}"/>
            </c:ext>
          </c:extLst>
        </c:ser>
        <c:ser>
          <c:idx val="1"/>
          <c:order val="1"/>
          <c:tx>
            <c:strRef>
              <c:f>'Total Sales'!$D$3:$D$4</c:f>
              <c:strCache>
                <c:ptCount val="1"/>
                <c:pt idx="0">
                  <c:v>Excelsa</c:v>
                </c:pt>
              </c:strCache>
            </c:strRef>
          </c:tx>
          <c:spPr>
            <a:ln w="28575" cap="rnd">
              <a:solidFill>
                <a:srgbClr val="78370A"/>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7E1-4AAC-88F4-097879A3687E}"/>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7E1-4AAC-88F4-097879A3687E}"/>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7E1-4AAC-88F4-097879A3687E}"/>
            </c:ext>
          </c:extLst>
        </c:ser>
        <c:dLbls>
          <c:showLegendKey val="0"/>
          <c:showVal val="0"/>
          <c:showCatName val="0"/>
          <c:showSerName val="0"/>
          <c:showPercent val="0"/>
          <c:showBubbleSize val="0"/>
        </c:dLbls>
        <c:smooth val="0"/>
        <c:axId val="527233055"/>
        <c:axId val="527233535"/>
      </c:lineChart>
      <c:catAx>
        <c:axId val="52723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crossAx val="527233535"/>
        <c:crosses val="autoZero"/>
        <c:auto val="1"/>
        <c:lblAlgn val="ctr"/>
        <c:lblOffset val="100"/>
        <c:noMultiLvlLbl val="0"/>
      </c:catAx>
      <c:valAx>
        <c:axId val="52723353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SZL</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S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crossAx val="527233055"/>
        <c:crosses val="autoZero"/>
        <c:crossBetween val="between"/>
      </c:valAx>
      <c:spPr>
        <a:solidFill>
          <a:srgbClr val="E5D5F7"/>
        </a:solidFill>
        <a:ln>
          <a:solidFill>
            <a:schemeClr val="bg1">
              <a:lumMod val="9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3C1464"/>
          </a:solidFill>
        </a:defRPr>
      </a:pPr>
      <a:endParaRPr lang="en-S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(Data Analysis).xlsx]Country bar chart!TotalSales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SZ"/>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217"/>
          </a:solidFill>
          <a:ln w="25400">
            <a:solidFill>
              <a:schemeClr val="bg1"/>
            </a:solidFill>
          </a:ln>
          <a:effectLst/>
        </c:spPr>
      </c:pivotFmt>
      <c:pivotFmt>
        <c:idx val="2"/>
        <c:spPr>
          <a:solidFill>
            <a:srgbClr val="0DFF7A"/>
          </a:solidFill>
          <a:ln w="25400">
            <a:solidFill>
              <a:schemeClr val="bg1"/>
            </a:solidFill>
          </a:ln>
          <a:effectLst/>
        </c:spPr>
      </c:pivotFmt>
      <c:pivotFmt>
        <c:idx val="3"/>
        <c:spPr>
          <a:solidFill>
            <a:srgbClr val="69FFAD"/>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9FFAD"/>
          </a:solidFill>
          <a:ln w="25400">
            <a:solidFill>
              <a:schemeClr val="bg1"/>
            </a:solidFill>
          </a:ln>
          <a:effectLst/>
        </c:spPr>
      </c:pivotFmt>
      <c:pivotFmt>
        <c:idx val="6"/>
        <c:spPr>
          <a:solidFill>
            <a:srgbClr val="0DFF7A"/>
          </a:solidFill>
          <a:ln w="25400">
            <a:solidFill>
              <a:schemeClr val="bg1"/>
            </a:solidFill>
          </a:ln>
          <a:effectLst/>
        </c:spPr>
      </c:pivotFmt>
      <c:pivotFmt>
        <c:idx val="7"/>
        <c:spPr>
          <a:solidFill>
            <a:srgbClr val="003217"/>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9FFAD"/>
          </a:solidFill>
          <a:ln w="25400">
            <a:solidFill>
              <a:schemeClr val="bg1"/>
            </a:solidFill>
          </a:ln>
          <a:effectLst/>
        </c:spPr>
      </c:pivotFmt>
      <c:pivotFmt>
        <c:idx val="10"/>
        <c:spPr>
          <a:solidFill>
            <a:srgbClr val="0DFF7A"/>
          </a:solidFill>
          <a:ln w="25400">
            <a:solidFill>
              <a:schemeClr val="bg1"/>
            </a:solidFill>
          </a:ln>
          <a:effectLst/>
        </c:spPr>
      </c:pivotFmt>
      <c:pivotFmt>
        <c:idx val="11"/>
        <c:spPr>
          <a:solidFill>
            <a:srgbClr val="003217"/>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69FFAD"/>
              </a:solidFill>
              <a:ln w="25400">
                <a:solidFill>
                  <a:schemeClr val="bg1"/>
                </a:solidFill>
              </a:ln>
              <a:effectLst/>
            </c:spPr>
            <c:extLst>
              <c:ext xmlns:c16="http://schemas.microsoft.com/office/drawing/2014/chart" uri="{C3380CC4-5D6E-409C-BE32-E72D297353CC}">
                <c16:uniqueId val="{00000001-A3FA-4CE0-8AE4-8BCC422488B6}"/>
              </c:ext>
            </c:extLst>
          </c:dPt>
          <c:dPt>
            <c:idx val="1"/>
            <c:invertIfNegative val="0"/>
            <c:bubble3D val="0"/>
            <c:spPr>
              <a:solidFill>
                <a:srgbClr val="0DFF7A"/>
              </a:solidFill>
              <a:ln w="25400">
                <a:solidFill>
                  <a:schemeClr val="bg1"/>
                </a:solidFill>
              </a:ln>
              <a:effectLst/>
            </c:spPr>
            <c:extLst>
              <c:ext xmlns:c16="http://schemas.microsoft.com/office/drawing/2014/chart" uri="{C3380CC4-5D6E-409C-BE32-E72D297353CC}">
                <c16:uniqueId val="{00000003-A3FA-4CE0-8AE4-8BCC422488B6}"/>
              </c:ext>
            </c:extLst>
          </c:dPt>
          <c:dPt>
            <c:idx val="2"/>
            <c:invertIfNegative val="0"/>
            <c:bubble3D val="0"/>
            <c:spPr>
              <a:solidFill>
                <a:srgbClr val="003217"/>
              </a:solidFill>
              <a:ln w="25400">
                <a:solidFill>
                  <a:schemeClr val="bg1"/>
                </a:solidFill>
              </a:ln>
              <a:effectLst/>
            </c:spPr>
            <c:extLst>
              <c:ext xmlns:c16="http://schemas.microsoft.com/office/drawing/2014/chart" uri="{C3380CC4-5D6E-409C-BE32-E72D297353CC}">
                <c16:uniqueId val="{00000005-A3FA-4CE0-8AE4-8BCC422488B6}"/>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3FA-4CE0-8AE4-8BCC422488B6}"/>
            </c:ext>
          </c:extLst>
        </c:ser>
        <c:dLbls>
          <c:dLblPos val="outEnd"/>
          <c:showLegendKey val="0"/>
          <c:showVal val="1"/>
          <c:showCatName val="0"/>
          <c:showSerName val="0"/>
          <c:showPercent val="0"/>
          <c:showBubbleSize val="0"/>
        </c:dLbls>
        <c:gapWidth val="182"/>
        <c:axId val="793107023"/>
        <c:axId val="793111823"/>
      </c:barChart>
      <c:catAx>
        <c:axId val="79310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crossAx val="793111823"/>
        <c:crosses val="autoZero"/>
        <c:auto val="1"/>
        <c:lblAlgn val="ctr"/>
        <c:lblOffset val="100"/>
        <c:noMultiLvlLbl val="0"/>
      </c:catAx>
      <c:valAx>
        <c:axId val="793111823"/>
        <c:scaling>
          <c:orientation val="minMax"/>
        </c:scaling>
        <c:delete val="0"/>
        <c:axPos val="b"/>
        <c:majorGridlines>
          <c:spPr>
            <a:ln w="9525" cap="flat" cmpd="sng" algn="ctr">
              <a:solidFill>
                <a:schemeClr val="bg1"/>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crossAx val="79310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5D5F7"/>
    </a:solidFill>
    <a:ln w="9525" cap="flat" cmpd="sng" algn="ctr">
      <a:solidFill>
        <a:schemeClr val="tx1">
          <a:lumMod val="15000"/>
          <a:lumOff val="85000"/>
        </a:schemeClr>
      </a:solidFill>
      <a:round/>
    </a:ln>
    <a:effectLst/>
  </c:spPr>
  <c:txPr>
    <a:bodyPr/>
    <a:lstStyle/>
    <a:p>
      <a:pPr>
        <a:defRPr>
          <a:solidFill>
            <a:srgbClr val="3C1464"/>
          </a:solidFill>
        </a:defRPr>
      </a:pPr>
      <a:endParaRPr lang="en-S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 (Data Analysis).xlsx]Top 5 Customers!TotalSales</c:name>
    <c:fmtId val="1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217"/>
          </a:solidFill>
          <a:ln w="25400">
            <a:solidFill>
              <a:schemeClr val="bg1"/>
            </a:solidFill>
          </a:ln>
          <a:effectLst/>
        </c:spPr>
      </c:pivotFmt>
      <c:pivotFmt>
        <c:idx val="2"/>
        <c:spPr>
          <a:solidFill>
            <a:srgbClr val="0DFF7A"/>
          </a:solidFill>
          <a:ln w="25400">
            <a:solidFill>
              <a:schemeClr val="bg1"/>
            </a:solidFill>
          </a:ln>
          <a:effectLst/>
        </c:spPr>
      </c:pivotFmt>
      <c:pivotFmt>
        <c:idx val="3"/>
        <c:spPr>
          <a:solidFill>
            <a:srgbClr val="69FFAD"/>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9FFAD"/>
          </a:solidFill>
          <a:ln w="25400">
            <a:solidFill>
              <a:schemeClr val="bg1"/>
            </a:solidFill>
          </a:ln>
          <a:effectLst/>
        </c:spPr>
      </c:pivotFmt>
      <c:pivotFmt>
        <c:idx val="6"/>
        <c:spPr>
          <a:solidFill>
            <a:srgbClr val="0DFF7A"/>
          </a:solidFill>
          <a:ln w="25400">
            <a:solidFill>
              <a:schemeClr val="bg1"/>
            </a:solidFill>
          </a:ln>
          <a:effectLst/>
        </c:spPr>
      </c:pivotFmt>
      <c:pivotFmt>
        <c:idx val="7"/>
        <c:spPr>
          <a:solidFill>
            <a:srgbClr val="003217"/>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DB7E-4DA1-B460-78E3A06DE509}"/>
              </c:ext>
            </c:extLst>
          </c:dPt>
          <c:dPt>
            <c:idx val="1"/>
            <c:invertIfNegative val="0"/>
            <c:bubble3D val="0"/>
            <c:extLst>
              <c:ext xmlns:c16="http://schemas.microsoft.com/office/drawing/2014/chart" uri="{C3380CC4-5D6E-409C-BE32-E72D297353CC}">
                <c16:uniqueId val="{00000001-DB7E-4DA1-B460-78E3A06DE509}"/>
              </c:ext>
            </c:extLst>
          </c:dPt>
          <c:dPt>
            <c:idx val="2"/>
            <c:invertIfNegative val="0"/>
            <c:bubble3D val="0"/>
            <c:extLst>
              <c:ext xmlns:c16="http://schemas.microsoft.com/office/drawing/2014/chart" uri="{C3380CC4-5D6E-409C-BE32-E72D297353CC}">
                <c16:uniqueId val="{00000002-DB7E-4DA1-B460-78E3A06DE50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DB7E-4DA1-B460-78E3A06DE509}"/>
            </c:ext>
          </c:extLst>
        </c:ser>
        <c:dLbls>
          <c:dLblPos val="outEnd"/>
          <c:showLegendKey val="0"/>
          <c:showVal val="1"/>
          <c:showCatName val="0"/>
          <c:showSerName val="0"/>
          <c:showPercent val="0"/>
          <c:showBubbleSize val="0"/>
        </c:dLbls>
        <c:gapWidth val="182"/>
        <c:axId val="793107023"/>
        <c:axId val="793111823"/>
      </c:barChart>
      <c:catAx>
        <c:axId val="79310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crossAx val="793111823"/>
        <c:crosses val="autoZero"/>
        <c:auto val="1"/>
        <c:lblAlgn val="ctr"/>
        <c:lblOffset val="100"/>
        <c:noMultiLvlLbl val="0"/>
      </c:catAx>
      <c:valAx>
        <c:axId val="793111823"/>
        <c:scaling>
          <c:orientation val="minMax"/>
        </c:scaling>
        <c:delete val="0"/>
        <c:axPos val="b"/>
        <c:majorGridlines>
          <c:spPr>
            <a:ln w="9525" cap="flat" cmpd="sng" algn="ctr">
              <a:solidFill>
                <a:schemeClr val="bg1"/>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SZ"/>
          </a:p>
        </c:txPr>
        <c:crossAx val="79310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5D5F7"/>
    </a:solidFill>
    <a:ln w="9525" cap="flat" cmpd="sng" algn="ctr">
      <a:solidFill>
        <a:schemeClr val="tx1">
          <a:lumMod val="15000"/>
          <a:lumOff val="85000"/>
        </a:schemeClr>
      </a:solidFill>
      <a:round/>
    </a:ln>
    <a:effectLst/>
  </c:spPr>
  <c:txPr>
    <a:bodyPr/>
    <a:lstStyle/>
    <a:p>
      <a:pPr>
        <a:defRPr>
          <a:solidFill>
            <a:srgbClr val="3C1464"/>
          </a:solidFill>
        </a:defRPr>
      </a:pPr>
      <a:endParaRPr lang="en-S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110872</xdr:colOff>
      <xdr:row>0</xdr:row>
      <xdr:rowOff>1</xdr:rowOff>
    </xdr:from>
    <xdr:to>
      <xdr:col>26</xdr:col>
      <xdr:colOff>10078</xdr:colOff>
      <xdr:row>5</xdr:row>
      <xdr:rowOff>171351</xdr:rowOff>
    </xdr:to>
    <xdr:sp macro="" textlink="">
      <xdr:nvSpPr>
        <xdr:cNvPr id="2" name="TextBox 1">
          <a:extLst>
            <a:ext uri="{FF2B5EF4-FFF2-40B4-BE49-F238E27FC236}">
              <a16:creationId xmlns:a16="http://schemas.microsoft.com/office/drawing/2014/main" id="{5F83D299-2471-5F47-B16C-62238DEF25BE}"/>
            </a:ext>
          </a:extLst>
        </xdr:cNvPr>
        <xdr:cNvSpPr txBox="1"/>
      </xdr:nvSpPr>
      <xdr:spPr>
        <a:xfrm>
          <a:off x="110872" y="1"/>
          <a:ext cx="15168070" cy="979532"/>
        </a:xfrm>
        <a:prstGeom prst="rect">
          <a:avLst/>
        </a:prstGeom>
        <a:solidFill>
          <a:srgbClr val="3C14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bg1"/>
              </a:solidFill>
            </a:rPr>
            <a:t>Coffee Sales Dashboard</a:t>
          </a:r>
          <a:endParaRPr lang="en-SZ" sz="4000">
            <a:solidFill>
              <a:schemeClr val="bg1"/>
            </a:solidFill>
          </a:endParaRPr>
        </a:p>
      </xdr:txBody>
    </xdr:sp>
    <xdr:clientData/>
  </xdr:twoCellAnchor>
  <xdr:twoCellAnchor editAs="oneCell">
    <xdr:from>
      <xdr:col>1</xdr:col>
      <xdr:colOff>-1</xdr:colOff>
      <xdr:row>6</xdr:row>
      <xdr:rowOff>14432</xdr:rowOff>
    </xdr:from>
    <xdr:to>
      <xdr:col>18</xdr:col>
      <xdr:colOff>57727</xdr:colOff>
      <xdr:row>15</xdr:row>
      <xdr:rowOff>161270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E2DE903-5133-4408-AEA1-5620540175F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5454" y="1010227"/>
              <a:ext cx="10362046" cy="1835361"/>
            </a:xfrm>
            <a:prstGeom prst="rect">
              <a:avLst/>
            </a:prstGeom>
            <a:solidFill>
              <a:prstClr val="white"/>
            </a:solidFill>
            <a:ln w="1">
              <a:solidFill>
                <a:prstClr val="green"/>
              </a:solidFill>
            </a:ln>
          </xdr:spPr>
          <xdr:txBody>
            <a:bodyPr vertOverflow="clip" horzOverflow="clip"/>
            <a:lstStyle/>
            <a:p>
              <a:r>
                <a:rPr lang="en-SZ" sz="1100"/>
                <a:t>Timeline: Works in Excel 2013 or higher. Do not move or resize.</a:t>
              </a:r>
            </a:p>
          </xdr:txBody>
        </xdr:sp>
      </mc:Fallback>
    </mc:AlternateContent>
    <xdr:clientData/>
  </xdr:twoCellAnchor>
  <xdr:twoCellAnchor editAs="oneCell">
    <xdr:from>
      <xdr:col>18</xdr:col>
      <xdr:colOff>178203</xdr:colOff>
      <xdr:row>10</xdr:row>
      <xdr:rowOff>133551</xdr:rowOff>
    </xdr:from>
    <xdr:to>
      <xdr:col>22</xdr:col>
      <xdr:colOff>10078</xdr:colOff>
      <xdr:row>15</xdr:row>
      <xdr:rowOff>171350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6278073A-25BD-4B26-912E-1C46896A0BE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97976" y="1879801"/>
              <a:ext cx="2256420" cy="975867"/>
            </a:xfrm>
            <a:prstGeom prst="rect">
              <a:avLst/>
            </a:prstGeom>
            <a:solidFill>
              <a:prstClr val="white"/>
            </a:solidFill>
            <a:ln w="1">
              <a:solidFill>
                <a:prstClr val="green"/>
              </a:solidFill>
            </a:ln>
          </xdr:spPr>
          <xdr:txBody>
            <a:bodyPr vertOverflow="clip" horzOverflow="clip"/>
            <a:lstStyle/>
            <a:p>
              <a:r>
                <a:rPr lang="en-S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181730</xdr:colOff>
      <xdr:row>6</xdr:row>
      <xdr:rowOff>26458</xdr:rowOff>
    </xdr:from>
    <xdr:to>
      <xdr:col>26</xdr:col>
      <xdr:colOff>13229</xdr:colOff>
      <xdr:row>10</xdr:row>
      <xdr:rowOff>60477</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D8EA7BE1-A7B6-4945-8EAC-435A8121071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601503" y="1022253"/>
              <a:ext cx="4680590" cy="784474"/>
            </a:xfrm>
            <a:prstGeom prst="rect">
              <a:avLst/>
            </a:prstGeom>
            <a:solidFill>
              <a:prstClr val="white"/>
            </a:solidFill>
            <a:ln w="1">
              <a:solidFill>
                <a:prstClr val="green"/>
              </a:solidFill>
            </a:ln>
          </xdr:spPr>
          <xdr:txBody>
            <a:bodyPr vertOverflow="clip" horzOverflow="clip"/>
            <a:lstStyle/>
            <a:p>
              <a:r>
                <a:rPr lang="en-S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71886</xdr:colOff>
      <xdr:row>10</xdr:row>
      <xdr:rowOff>131032</xdr:rowOff>
    </xdr:from>
    <xdr:to>
      <xdr:col>25</xdr:col>
      <xdr:colOff>612718</xdr:colOff>
      <xdr:row>15</xdr:row>
      <xdr:rowOff>161270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7D8ACA51-7B9C-4DF9-A0F0-E7A6F1DD483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015667" y="1877282"/>
              <a:ext cx="2279000" cy="968306"/>
            </a:xfrm>
            <a:prstGeom prst="rect">
              <a:avLst/>
            </a:prstGeom>
            <a:solidFill>
              <a:prstClr val="white"/>
            </a:solidFill>
            <a:ln w="1">
              <a:solidFill>
                <a:prstClr val="green"/>
              </a:solidFill>
            </a:ln>
          </xdr:spPr>
          <xdr:txBody>
            <a:bodyPr vertOverflow="clip" horzOverflow="clip"/>
            <a:lstStyle/>
            <a:p>
              <a:r>
                <a:rPr lang="en-S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110871</xdr:colOff>
      <xdr:row>16</xdr:row>
      <xdr:rowOff>15117</xdr:rowOff>
    </xdr:from>
    <xdr:to>
      <xdr:col>15</xdr:col>
      <xdr:colOff>418522</xdr:colOff>
      <xdr:row>45</xdr:row>
      <xdr:rowOff>14432</xdr:rowOff>
    </xdr:to>
    <xdr:graphicFrame macro="">
      <xdr:nvGraphicFramePr>
        <xdr:cNvPr id="7" name="Chart 6">
          <a:extLst>
            <a:ext uri="{FF2B5EF4-FFF2-40B4-BE49-F238E27FC236}">
              <a16:creationId xmlns:a16="http://schemas.microsoft.com/office/drawing/2014/main" id="{0218B12F-1E18-4340-AD1E-E305BF667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461727</xdr:colOff>
      <xdr:row>16</xdr:row>
      <xdr:rowOff>56071</xdr:rowOff>
    </xdr:from>
    <xdr:to>
      <xdr:col>26</xdr:col>
      <xdr:colOff>3606</xdr:colOff>
      <xdr:row>31</xdr:row>
      <xdr:rowOff>77842</xdr:rowOff>
    </xdr:to>
    <xdr:graphicFrame macro="">
      <xdr:nvGraphicFramePr>
        <xdr:cNvPr id="8" name="Chart 7">
          <a:extLst>
            <a:ext uri="{FF2B5EF4-FFF2-40B4-BE49-F238E27FC236}">
              <a16:creationId xmlns:a16="http://schemas.microsoft.com/office/drawing/2014/main" id="{965C4F58-4C46-486B-8859-D9C09523C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458029</xdr:colOff>
      <xdr:row>31</xdr:row>
      <xdr:rowOff>107036</xdr:rowOff>
    </xdr:from>
    <xdr:to>
      <xdr:col>26</xdr:col>
      <xdr:colOff>13229</xdr:colOff>
      <xdr:row>45</xdr:row>
      <xdr:rowOff>14431</xdr:rowOff>
    </xdr:to>
    <xdr:graphicFrame macro="">
      <xdr:nvGraphicFramePr>
        <xdr:cNvPr id="9" name="Chart 8">
          <a:extLst>
            <a:ext uri="{FF2B5EF4-FFF2-40B4-BE49-F238E27FC236}">
              <a16:creationId xmlns:a16="http://schemas.microsoft.com/office/drawing/2014/main" id="{08DE2132-C9B5-4E76-A274-1133AB43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ntokozo" refreshedDate="46153.927078703702" createdVersion="8" refreshedVersion="8" minRefreshableVersion="3" recordCount="1000" xr:uid="{52D78727-C51F-49DC-A711-F2B9BB08D65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17401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052A4-60F7-4522-9729-0E04CEEC71D1}"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3"/>
  </dataFields>
  <chartFormats count="4">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F431F5-5377-4F72-BC95-B159E3D15DF3}"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formats count="2">
    <format dxfId="14">
      <pivotArea outline="0" collapsedLevelsAreSubtotals="1" fieldPosition="0"/>
    </format>
    <format dxfId="11">
      <pivotArea dataOnly="0" labelOnly="1" outline="0" axis="axisValues" fieldPosition="0"/>
    </format>
  </formats>
  <chartFormats count="4">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1"/>
          </reference>
        </references>
      </pivotArea>
    </chartFormat>
    <chartFormat chart="14" format="10">
      <pivotArea type="data" outline="0" fieldPosition="0">
        <references count="2">
          <reference field="4294967294" count="1" selected="0">
            <x v="0"/>
          </reference>
          <reference field="7" count="1" selected="0">
            <x v="0"/>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EB23F-8F7D-4350-812E-45B8DF8E60BB}"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formats count="3">
    <format dxfId="22">
      <pivotArea outline="0" fieldPosition="0">
        <references count="1">
          <reference field="5" count="1" selected="0">
            <x v="28"/>
          </reference>
        </references>
      </pivotArea>
    </format>
    <format dxfId="20">
      <pivotArea outline="0" collapsedLevelsAreSubtotals="1" fieldPosition="0"/>
    </format>
    <format dxfId="19">
      <pivotArea dataOnly="0" labelOnly="1" outline="0" axis="axisValues" fieldPosition="0"/>
    </format>
  </formats>
  <chartFormats count="4">
    <chartFormat chart="6"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ECE8BC7-01CA-405D-896F-BA805C1D3B45}" sourceName="Size">
  <pivotTables>
    <pivotTable tabId="18" name="TotalSales"/>
  </pivotTables>
  <data>
    <tabular pivotCacheId="31740196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69BB611-072C-4D90-BDFF-F45BE4FCCA8C}" sourceName="Roast Type Name">
  <pivotTables>
    <pivotTable tabId="18" name="TotalSales"/>
  </pivotTables>
  <data>
    <tabular pivotCacheId="31740196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604C25D-79B8-4404-95D4-6604C2F17E73}" sourceName="Loyalty Card">
  <pivotTables>
    <pivotTable tabId="18" name="TotalSales"/>
  </pivotTables>
  <data>
    <tabular pivotCacheId="3174019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4819E92-D3AD-4D81-8469-D9695B46344A}" cache="Slicer_Size" caption="Size" columnCount="2" rowHeight="241300"/>
  <slicer name="Roast Type Name" xr10:uid="{BD29823D-2E3F-4616-9C8E-5C30047FE50A}" cache="Slicer_Roast_Type_Name" caption="Roast Type Name" columnCount="3" rowHeight="241300"/>
  <slicer name="Loyalty Card" xr10:uid="{E71FFEDD-75A1-442A-AE9E-95FC6B14066D}"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C1AFAA-D0FB-4D57-A481-795598731658}" name="Orders" displayName="Orders" ref="A1:P1001" totalsRowShown="0" headerRowDxfId="34">
  <autoFilter ref="A1:P1001" xr:uid="{32C1AFAA-D0FB-4D57-A481-795598731658}"/>
  <tableColumns count="16">
    <tableColumn id="1" xr3:uid="{9844379E-2D06-4649-A318-34146504F92D}" name="Order ID" dataDxfId="33"/>
    <tableColumn id="2" xr3:uid="{871A8316-397B-4220-82A4-4C927FC29D8A}" name="Order Date" dataDxfId="32"/>
    <tableColumn id="3" xr3:uid="{2450FCFB-D41E-41B8-B7C6-0581CFA945BE}" name="Customer ID" dataDxfId="31"/>
    <tableColumn id="4" xr3:uid="{9FE84289-2161-414F-9638-0959C7BBFB3D}" name="Product ID"/>
    <tableColumn id="5" xr3:uid="{30298D09-BBE6-40ED-8A8C-DB9266F17C14}" name="Quantity" dataDxfId="30"/>
    <tableColumn id="6" xr3:uid="{4607E444-E22C-4755-A41F-9FB7DBC2D89D}" name="Customer Name" dataDxfId="29">
      <calculatedColumnFormula>_xlfn.XLOOKUP(C2,customers!$A$1:$A$1001,customers!$B$1:$B$1001,,0)</calculatedColumnFormula>
    </tableColumn>
    <tableColumn id="7" xr3:uid="{DC85CE65-471E-4FEC-A53B-D5EF2FE76C88}" name="Email" dataDxfId="28">
      <calculatedColumnFormula>IF(_xlfn.XLOOKUP(C2,customers!$A$1:$A$1001,customers!$C$1:$C$1001,,0)=0,"",_xlfn.XLOOKUP(C2,customers!$A$1:$A$1001,customers!$C$1:$C$1001,,0))</calculatedColumnFormula>
    </tableColumn>
    <tableColumn id="8" xr3:uid="{FB70A07E-A999-4037-A795-30C692A6C08D}" name="Country" dataDxfId="27">
      <calculatedColumnFormula>_xlfn.XLOOKUP(C2,customers!$A$1:$A$1001,customers!$G$1:$G$1001,,0)</calculatedColumnFormula>
    </tableColumn>
    <tableColumn id="9" xr3:uid="{1192539D-0743-42FC-8DF1-7A24B7B8ECA7}" name="Coffee Type">
      <calculatedColumnFormula>INDEX(products!$A$1:$G$49,MATCH(orders!$D2,products!$A$1:$A$49,0), MATCH(orders!I$1,  products!$A$1:$G$1,0))</calculatedColumnFormula>
    </tableColumn>
    <tableColumn id="10" xr3:uid="{D4768C62-3BD0-493E-8B40-5A047AD19ACF}" name="Roast Type">
      <calculatedColumnFormula>INDEX(products!$A$1:$G$49,MATCH(orders!$D2,products!$A$1:$A$49,0), MATCH(orders!J$1,  products!$A$1:$G$1,0))</calculatedColumnFormula>
    </tableColumn>
    <tableColumn id="11" xr3:uid="{CB173FB9-3E16-4E6F-8C1E-71022DD3FFD8}" name="Size" dataDxfId="25">
      <calculatedColumnFormula>INDEX(products!$A$1:$G$49,MATCH(orders!$D2,products!$A$1:$A$49,0), MATCH(orders!K$1,  products!$A$1:$G$1,0))</calculatedColumnFormula>
    </tableColumn>
    <tableColumn id="12" xr3:uid="{CC9C65AC-B4A3-40CE-BCC7-87FDDDF012A8}" name="Unit Price" dataDxfId="24">
      <calculatedColumnFormula>INDEX(products!$A$1:$G$49,MATCH(orders!$D2,products!$A$1:$A$49,0), MATCH(orders!L$1,  products!$A$1:$G$1,0))</calculatedColumnFormula>
    </tableColumn>
    <tableColumn id="13" xr3:uid="{7FC41C53-5C58-400B-808F-A9654416A04A}" name="Sales" dataDxfId="23">
      <calculatedColumnFormula>L2*E2</calculatedColumnFormula>
    </tableColumn>
    <tableColumn id="14" xr3:uid="{09CA7A51-7414-4127-ADE3-01E4143B1635}" name="Coffee Type Name">
      <calculatedColumnFormula>IF(I2="Rob","Robusta", IF(I2="Exc","Excelsa", IF(I2="Ara", "Arabica", IF(I2="Lib", "Liberica", ""))))</calculatedColumnFormula>
    </tableColumn>
    <tableColumn id="15" xr3:uid="{BB05413C-75EF-4764-B6DA-B8011F25C8BD}" name="Roast Type Name">
      <calculatedColumnFormula>IF(J2="M", "Medium", IF(J2="L", "Light",IF(J2="D","Dark","")))</calculatedColumnFormula>
    </tableColumn>
    <tableColumn id="16" xr3:uid="{1BDB5965-3218-4CE2-AB5F-C045C8B4A419}" name="Loyalty Card" dataDxfId="26">
      <calculatedColumnFormula>_xlfn.XLOOKUP(Orders[[#This Row],[Customer ID]],customers!$A$1:$A$1001,customers!$I$1:$I$1001,,0)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8D75406-8999-4569-8AAB-469C86B81337}" sourceName="Order Date">
  <pivotTables>
    <pivotTable tabId="18" name="TotalSales"/>
    <pivotTable tabId="19" name="TotalSales"/>
    <pivotTable tabId="23" name="TotalSales"/>
  </pivotTables>
  <state minimalRefreshVersion="6" lastRefreshVersion="6" pivotCacheId="31740196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E94ADAB-FB9D-4EFC-9137-CFB01D60662B}"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78724-E59E-40BB-8573-875B28F4CDD9}">
  <dimension ref="A1"/>
  <sheetViews>
    <sheetView tabSelected="1" zoomScale="57" workbookViewId="0">
      <selection activeCell="AB13" sqref="AB13"/>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111F0-849E-42D7-A727-37D27F8BEFC8}">
  <dimension ref="A3:F48"/>
  <sheetViews>
    <sheetView zoomScale="70" workbookViewId="0">
      <selection activeCell="C11" sqref="C11"/>
    </sheetView>
  </sheetViews>
  <sheetFormatPr defaultRowHeight="14.5" x14ac:dyDescent="0.35"/>
  <cols>
    <col min="1" max="1" width="12.36328125" bestFit="1" customWidth="1"/>
    <col min="2" max="2" width="21.08984375" bestFit="1" customWidth="1"/>
    <col min="3" max="3" width="19.26953125" bestFit="1" customWidth="1"/>
    <col min="4" max="4" width="6.81640625" bestFit="1" customWidth="1"/>
    <col min="5" max="5" width="7.1796875" bestFit="1" customWidth="1"/>
    <col min="6" max="6" width="7.7265625" bestFit="1" customWidth="1"/>
  </cols>
  <sheetData>
    <row r="3" spans="1:6" x14ac:dyDescent="0.35">
      <c r="A3" s="5" t="s">
        <v>6215</v>
      </c>
      <c r="C3" s="5" t="s">
        <v>6196</v>
      </c>
    </row>
    <row r="4" spans="1:6" x14ac:dyDescent="0.35">
      <c r="A4" s="5" t="s">
        <v>6209</v>
      </c>
      <c r="B4" s="5" t="s">
        <v>6210</v>
      </c>
      <c r="C4" t="s">
        <v>6211</v>
      </c>
      <c r="D4" t="s">
        <v>6212</v>
      </c>
      <c r="E4" t="s">
        <v>6213</v>
      </c>
      <c r="F4" t="s">
        <v>6214</v>
      </c>
    </row>
    <row r="5" spans="1:6" x14ac:dyDescent="0.35">
      <c r="A5" t="s">
        <v>6198</v>
      </c>
      <c r="B5" t="s">
        <v>6200</v>
      </c>
      <c r="C5" s="6">
        <v>186.85499999999999</v>
      </c>
      <c r="D5" s="6">
        <v>305.97000000000003</v>
      </c>
      <c r="E5" s="6">
        <v>213.15999999999997</v>
      </c>
      <c r="F5" s="6">
        <v>123</v>
      </c>
    </row>
    <row r="6" spans="1:6" x14ac:dyDescent="0.35">
      <c r="B6" t="s">
        <v>6201</v>
      </c>
      <c r="C6" s="6">
        <v>251.96499999999997</v>
      </c>
      <c r="D6" s="6">
        <v>129.46</v>
      </c>
      <c r="E6" s="6">
        <v>434.03999999999996</v>
      </c>
      <c r="F6" s="6">
        <v>171.93999999999997</v>
      </c>
    </row>
    <row r="7" spans="1:6" x14ac:dyDescent="0.35">
      <c r="B7" t="s">
        <v>6216</v>
      </c>
      <c r="C7" s="6">
        <v>224.94499999999999</v>
      </c>
      <c r="D7" s="6">
        <v>349.12</v>
      </c>
      <c r="E7" s="6">
        <v>321.04000000000002</v>
      </c>
      <c r="F7" s="6">
        <v>126.035</v>
      </c>
    </row>
    <row r="8" spans="1:6" x14ac:dyDescent="0.35">
      <c r="B8" t="s">
        <v>6217</v>
      </c>
      <c r="C8" s="6">
        <v>307.12</v>
      </c>
      <c r="D8" s="6">
        <v>681.07499999999993</v>
      </c>
      <c r="E8" s="6">
        <v>533.70499999999993</v>
      </c>
      <c r="F8" s="6">
        <v>158.85</v>
      </c>
    </row>
    <row r="9" spans="1:6" x14ac:dyDescent="0.35">
      <c r="B9" t="s">
        <v>6218</v>
      </c>
      <c r="C9" s="6">
        <v>53.664999999999992</v>
      </c>
      <c r="D9" s="6">
        <v>83.025000000000006</v>
      </c>
      <c r="E9" s="6">
        <v>193.83499999999998</v>
      </c>
      <c r="F9" s="6">
        <v>68.039999999999992</v>
      </c>
    </row>
    <row r="10" spans="1:6" x14ac:dyDescent="0.35">
      <c r="B10" t="s">
        <v>6202</v>
      </c>
      <c r="C10" s="6">
        <v>163.01999999999998</v>
      </c>
      <c r="D10" s="6">
        <v>678.3599999999999</v>
      </c>
      <c r="E10" s="6">
        <v>171.04500000000002</v>
      </c>
      <c r="F10" s="6">
        <v>372.255</v>
      </c>
    </row>
    <row r="11" spans="1:6" x14ac:dyDescent="0.35">
      <c r="B11" t="s">
        <v>6203</v>
      </c>
      <c r="C11" s="6">
        <v>345.02</v>
      </c>
      <c r="D11" s="6">
        <v>273.86999999999995</v>
      </c>
      <c r="E11" s="6">
        <v>184.12999999999997</v>
      </c>
      <c r="F11" s="6">
        <v>201.11499999999998</v>
      </c>
    </row>
    <row r="12" spans="1:6" x14ac:dyDescent="0.35">
      <c r="B12" t="s">
        <v>6204</v>
      </c>
      <c r="C12" s="6">
        <v>334.89</v>
      </c>
      <c r="D12" s="6">
        <v>70.95</v>
      </c>
      <c r="E12" s="6">
        <v>134.23000000000002</v>
      </c>
      <c r="F12" s="6">
        <v>166.27499999999998</v>
      </c>
    </row>
    <row r="13" spans="1:6" x14ac:dyDescent="0.35">
      <c r="B13" t="s">
        <v>6205</v>
      </c>
      <c r="C13" s="6">
        <v>178.70999999999998</v>
      </c>
      <c r="D13" s="6">
        <v>166.1</v>
      </c>
      <c r="E13" s="6">
        <v>439.30999999999995</v>
      </c>
      <c r="F13" s="6">
        <v>492.9</v>
      </c>
    </row>
    <row r="14" spans="1:6" x14ac:dyDescent="0.35">
      <c r="B14" t="s">
        <v>6206</v>
      </c>
      <c r="C14" s="6">
        <v>301.98500000000001</v>
      </c>
      <c r="D14" s="6">
        <v>153.76499999999999</v>
      </c>
      <c r="E14" s="6">
        <v>215.55499999999998</v>
      </c>
      <c r="F14" s="6">
        <v>213.66499999999999</v>
      </c>
    </row>
    <row r="15" spans="1:6" x14ac:dyDescent="0.35">
      <c r="B15" t="s">
        <v>6207</v>
      </c>
      <c r="C15" s="6">
        <v>312.83499999999998</v>
      </c>
      <c r="D15" s="6">
        <v>63.249999999999993</v>
      </c>
      <c r="E15" s="6">
        <v>350.89500000000004</v>
      </c>
      <c r="F15" s="6">
        <v>96.405000000000001</v>
      </c>
    </row>
    <row r="16" spans="1:6" x14ac:dyDescent="0.35">
      <c r="B16" t="s">
        <v>6208</v>
      </c>
      <c r="C16" s="6">
        <v>265.62</v>
      </c>
      <c r="D16" s="6">
        <v>526.51499999999987</v>
      </c>
      <c r="E16" s="6">
        <v>187.06</v>
      </c>
      <c r="F16" s="6">
        <v>210.58999999999997</v>
      </c>
    </row>
    <row r="17" spans="1:6" x14ac:dyDescent="0.35">
      <c r="A17" t="s">
        <v>6199</v>
      </c>
      <c r="B17" t="s">
        <v>6200</v>
      </c>
      <c r="C17" s="6">
        <v>47.25</v>
      </c>
      <c r="D17" s="6">
        <v>65.805000000000007</v>
      </c>
      <c r="E17" s="6">
        <v>274.67500000000001</v>
      </c>
      <c r="F17" s="6">
        <v>179.22</v>
      </c>
    </row>
    <row r="18" spans="1:6" x14ac:dyDescent="0.35">
      <c r="B18" t="s">
        <v>6201</v>
      </c>
      <c r="C18" s="6">
        <v>745.44999999999993</v>
      </c>
      <c r="D18" s="6">
        <v>428.88499999999999</v>
      </c>
      <c r="E18" s="6">
        <v>194.17499999999998</v>
      </c>
      <c r="F18" s="6">
        <v>429.82999999999993</v>
      </c>
    </row>
    <row r="19" spans="1:6" x14ac:dyDescent="0.35">
      <c r="B19" t="s">
        <v>6216</v>
      </c>
      <c r="C19" s="6">
        <v>130.47</v>
      </c>
      <c r="D19" s="6">
        <v>271.48500000000001</v>
      </c>
      <c r="E19" s="6">
        <v>281.20499999999998</v>
      </c>
      <c r="F19" s="6">
        <v>231.63000000000002</v>
      </c>
    </row>
    <row r="20" spans="1:6" x14ac:dyDescent="0.35">
      <c r="B20" t="s">
        <v>6217</v>
      </c>
      <c r="C20" s="6">
        <v>27</v>
      </c>
      <c r="D20" s="6">
        <v>347.26</v>
      </c>
      <c r="E20" s="6">
        <v>147.51</v>
      </c>
      <c r="F20" s="6">
        <v>240.04</v>
      </c>
    </row>
    <row r="21" spans="1:6" x14ac:dyDescent="0.35">
      <c r="B21" t="s">
        <v>6218</v>
      </c>
      <c r="C21" s="6">
        <v>255.11499999999995</v>
      </c>
      <c r="D21" s="6">
        <v>541.73</v>
      </c>
      <c r="E21" s="6">
        <v>83.43</v>
      </c>
      <c r="F21" s="6">
        <v>59.079999999999991</v>
      </c>
    </row>
    <row r="22" spans="1:6" x14ac:dyDescent="0.35">
      <c r="B22" t="s">
        <v>6202</v>
      </c>
      <c r="C22" s="6">
        <v>584.78999999999985</v>
      </c>
      <c r="D22" s="6">
        <v>357.42999999999995</v>
      </c>
      <c r="E22" s="6">
        <v>355.34</v>
      </c>
      <c r="F22" s="6">
        <v>140.88</v>
      </c>
    </row>
    <row r="23" spans="1:6" x14ac:dyDescent="0.35">
      <c r="B23" t="s">
        <v>6203</v>
      </c>
      <c r="C23" s="6">
        <v>430.62</v>
      </c>
      <c r="D23" s="6">
        <v>227.42500000000001</v>
      </c>
      <c r="E23" s="6">
        <v>236.315</v>
      </c>
      <c r="F23" s="6">
        <v>414.58499999999992</v>
      </c>
    </row>
    <row r="24" spans="1:6" x14ac:dyDescent="0.35">
      <c r="B24" t="s">
        <v>6204</v>
      </c>
      <c r="C24" s="6">
        <v>22.5</v>
      </c>
      <c r="D24" s="6">
        <v>77.72</v>
      </c>
      <c r="E24" s="6">
        <v>60.5</v>
      </c>
      <c r="F24" s="6">
        <v>139.67999999999998</v>
      </c>
    </row>
    <row r="25" spans="1:6" x14ac:dyDescent="0.35">
      <c r="B25" t="s">
        <v>6205</v>
      </c>
      <c r="C25" s="6">
        <v>126.14999999999999</v>
      </c>
      <c r="D25" s="6">
        <v>195.11</v>
      </c>
      <c r="E25" s="6">
        <v>89.13</v>
      </c>
      <c r="F25" s="6">
        <v>302.65999999999997</v>
      </c>
    </row>
    <row r="26" spans="1:6" x14ac:dyDescent="0.35">
      <c r="B26" t="s">
        <v>6206</v>
      </c>
      <c r="C26" s="6">
        <v>376.03</v>
      </c>
      <c r="D26" s="6">
        <v>523.24</v>
      </c>
      <c r="E26" s="6">
        <v>440.96499999999997</v>
      </c>
      <c r="F26" s="6">
        <v>174.46999999999997</v>
      </c>
    </row>
    <row r="27" spans="1:6" x14ac:dyDescent="0.35">
      <c r="B27" t="s">
        <v>6207</v>
      </c>
      <c r="C27" s="6">
        <v>515.17999999999995</v>
      </c>
      <c r="D27" s="6">
        <v>142.56</v>
      </c>
      <c r="E27" s="6">
        <v>347.03999999999996</v>
      </c>
      <c r="F27" s="6">
        <v>104.08499999999999</v>
      </c>
    </row>
    <row r="28" spans="1:6" x14ac:dyDescent="0.35">
      <c r="B28" t="s">
        <v>6208</v>
      </c>
      <c r="C28" s="6">
        <v>95.859999999999985</v>
      </c>
      <c r="D28" s="6">
        <v>484.76</v>
      </c>
      <c r="E28" s="6">
        <v>94.17</v>
      </c>
      <c r="F28" s="6">
        <v>77.10499999999999</v>
      </c>
    </row>
    <row r="29" spans="1:6" x14ac:dyDescent="0.35">
      <c r="A29" t="s">
        <v>6219</v>
      </c>
      <c r="B29" t="s">
        <v>6200</v>
      </c>
      <c r="C29" s="6">
        <v>258.34500000000003</v>
      </c>
      <c r="D29" s="6">
        <v>139.625</v>
      </c>
      <c r="E29" s="6">
        <v>279.52000000000004</v>
      </c>
      <c r="F29" s="6">
        <v>160.19499999999999</v>
      </c>
    </row>
    <row r="30" spans="1:6" x14ac:dyDescent="0.35">
      <c r="B30" t="s">
        <v>6201</v>
      </c>
      <c r="C30" s="6">
        <v>342.2</v>
      </c>
      <c r="D30" s="6">
        <v>284.24999999999994</v>
      </c>
      <c r="E30" s="6">
        <v>251.83</v>
      </c>
      <c r="F30" s="6">
        <v>80.550000000000011</v>
      </c>
    </row>
    <row r="31" spans="1:6" x14ac:dyDescent="0.35">
      <c r="B31" t="s">
        <v>6216</v>
      </c>
      <c r="C31" s="6">
        <v>418.30499999999989</v>
      </c>
      <c r="D31" s="6">
        <v>468.125</v>
      </c>
      <c r="E31" s="6">
        <v>405.05500000000006</v>
      </c>
      <c r="F31" s="6">
        <v>253.15499999999997</v>
      </c>
    </row>
    <row r="32" spans="1:6" x14ac:dyDescent="0.35">
      <c r="B32" t="s">
        <v>6217</v>
      </c>
      <c r="C32" s="6">
        <v>102.32999999999998</v>
      </c>
      <c r="D32" s="6">
        <v>242.14000000000001</v>
      </c>
      <c r="E32" s="6">
        <v>554.875</v>
      </c>
      <c r="F32" s="6">
        <v>106.23999999999998</v>
      </c>
    </row>
    <row r="33" spans="1:6" x14ac:dyDescent="0.35">
      <c r="B33" t="s">
        <v>6218</v>
      </c>
      <c r="C33" s="6">
        <v>234.71999999999997</v>
      </c>
      <c r="D33" s="6">
        <v>133.08000000000001</v>
      </c>
      <c r="E33" s="6">
        <v>267.2</v>
      </c>
      <c r="F33" s="6">
        <v>272.68999999999994</v>
      </c>
    </row>
    <row r="34" spans="1:6" x14ac:dyDescent="0.35">
      <c r="B34" t="s">
        <v>6202</v>
      </c>
      <c r="C34" s="6">
        <v>430.39</v>
      </c>
      <c r="D34" s="6">
        <v>136.20500000000001</v>
      </c>
      <c r="E34" s="6">
        <v>209.6</v>
      </c>
      <c r="F34" s="6">
        <v>88.334999999999994</v>
      </c>
    </row>
    <row r="35" spans="1:6" x14ac:dyDescent="0.35">
      <c r="B35" t="s">
        <v>6203</v>
      </c>
      <c r="C35" s="6">
        <v>109.005</v>
      </c>
      <c r="D35" s="6">
        <v>393.57499999999999</v>
      </c>
      <c r="E35" s="6">
        <v>61.034999999999997</v>
      </c>
      <c r="F35" s="6">
        <v>199.48999999999998</v>
      </c>
    </row>
    <row r="36" spans="1:6" x14ac:dyDescent="0.35">
      <c r="B36" t="s">
        <v>6204</v>
      </c>
      <c r="C36" s="6">
        <v>287.52499999999998</v>
      </c>
      <c r="D36" s="6">
        <v>288.67</v>
      </c>
      <c r="E36" s="6">
        <v>125.58</v>
      </c>
      <c r="F36" s="6">
        <v>374.13499999999999</v>
      </c>
    </row>
    <row r="37" spans="1:6" x14ac:dyDescent="0.35">
      <c r="B37" t="s">
        <v>6205</v>
      </c>
      <c r="C37" s="6">
        <v>840.92999999999984</v>
      </c>
      <c r="D37" s="6">
        <v>409.875</v>
      </c>
      <c r="E37" s="6">
        <v>171.32999999999998</v>
      </c>
      <c r="F37" s="6">
        <v>221.43999999999997</v>
      </c>
    </row>
    <row r="38" spans="1:6" x14ac:dyDescent="0.35">
      <c r="B38" t="s">
        <v>6206</v>
      </c>
      <c r="C38" s="6">
        <v>299.07</v>
      </c>
      <c r="D38" s="6">
        <v>260.32499999999999</v>
      </c>
      <c r="E38" s="6">
        <v>584.64</v>
      </c>
      <c r="F38" s="6">
        <v>256.36500000000001</v>
      </c>
    </row>
    <row r="39" spans="1:6" x14ac:dyDescent="0.35">
      <c r="B39" t="s">
        <v>6207</v>
      </c>
      <c r="C39" s="6">
        <v>323.32499999999999</v>
      </c>
      <c r="D39" s="6">
        <v>565.57000000000005</v>
      </c>
      <c r="E39" s="6">
        <v>537.80999999999995</v>
      </c>
      <c r="F39" s="6">
        <v>189.47499999999999</v>
      </c>
    </row>
    <row r="40" spans="1:6" x14ac:dyDescent="0.35">
      <c r="B40" t="s">
        <v>6208</v>
      </c>
      <c r="C40" s="6">
        <v>399.48499999999996</v>
      </c>
      <c r="D40" s="6">
        <v>148.19999999999999</v>
      </c>
      <c r="E40" s="6">
        <v>388.21999999999997</v>
      </c>
      <c r="F40" s="6">
        <v>212.07499999999999</v>
      </c>
    </row>
    <row r="41" spans="1:6" x14ac:dyDescent="0.35">
      <c r="A41" t="s">
        <v>6220</v>
      </c>
      <c r="B41" t="s">
        <v>6200</v>
      </c>
      <c r="C41" s="6">
        <v>112.69499999999999</v>
      </c>
      <c r="D41" s="6">
        <v>166.32</v>
      </c>
      <c r="E41" s="6">
        <v>843.71499999999992</v>
      </c>
      <c r="F41" s="6">
        <v>146.685</v>
      </c>
    </row>
    <row r="42" spans="1:6" x14ac:dyDescent="0.35">
      <c r="B42" t="s">
        <v>6201</v>
      </c>
      <c r="C42" s="6">
        <v>114.87999999999998</v>
      </c>
      <c r="D42" s="6">
        <v>133.815</v>
      </c>
      <c r="E42" s="6">
        <v>91.175000000000011</v>
      </c>
      <c r="F42" s="6">
        <v>53.759999999999991</v>
      </c>
    </row>
    <row r="43" spans="1:6" x14ac:dyDescent="0.35">
      <c r="B43" t="s">
        <v>6216</v>
      </c>
      <c r="C43" s="6">
        <v>277.76</v>
      </c>
      <c r="D43" s="6">
        <v>175.41</v>
      </c>
      <c r="E43" s="6">
        <v>462.50999999999993</v>
      </c>
      <c r="F43" s="6">
        <v>399.52499999999998</v>
      </c>
    </row>
    <row r="44" spans="1:6" x14ac:dyDescent="0.35">
      <c r="B44" t="s">
        <v>6217</v>
      </c>
      <c r="C44" s="6">
        <v>197.89499999999998</v>
      </c>
      <c r="D44" s="6">
        <v>289.755</v>
      </c>
      <c r="E44" s="6">
        <v>88.545000000000002</v>
      </c>
      <c r="F44" s="6">
        <v>200.25499999999997</v>
      </c>
    </row>
    <row r="45" spans="1:6" x14ac:dyDescent="0.35">
      <c r="B45" t="s">
        <v>6218</v>
      </c>
      <c r="C45" s="6">
        <v>193.11499999999998</v>
      </c>
      <c r="D45" s="6">
        <v>212.49499999999998</v>
      </c>
      <c r="E45" s="6">
        <v>292.29000000000002</v>
      </c>
      <c r="F45" s="6">
        <v>304.46999999999997</v>
      </c>
    </row>
    <row r="46" spans="1:6" x14ac:dyDescent="0.35">
      <c r="B46" t="s">
        <v>6202</v>
      </c>
      <c r="C46" s="6">
        <v>179.79</v>
      </c>
      <c r="D46" s="6">
        <v>426.2</v>
      </c>
      <c r="E46" s="6">
        <v>170.08999999999997</v>
      </c>
      <c r="F46" s="6">
        <v>379.31</v>
      </c>
    </row>
    <row r="47" spans="1:6" x14ac:dyDescent="0.35">
      <c r="B47" t="s">
        <v>6203</v>
      </c>
      <c r="C47" s="6">
        <v>247.28999999999996</v>
      </c>
      <c r="D47" s="6">
        <v>246.685</v>
      </c>
      <c r="E47" s="6">
        <v>271.05499999999995</v>
      </c>
      <c r="F47" s="6">
        <v>141.69999999999999</v>
      </c>
    </row>
    <row r="48" spans="1:6" x14ac:dyDescent="0.35">
      <c r="B48" t="s">
        <v>6204</v>
      </c>
      <c r="C48" s="6">
        <v>116.39499999999998</v>
      </c>
      <c r="D48" s="6">
        <v>41.25</v>
      </c>
      <c r="E48" s="6">
        <v>15.54</v>
      </c>
      <c r="F48" s="6">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F281-8620-417F-9713-A127F69C0A2C}">
  <dimension ref="A3:B6"/>
  <sheetViews>
    <sheetView zoomScale="70" workbookViewId="0">
      <selection activeCell="P12" sqref="P12"/>
    </sheetView>
  </sheetViews>
  <sheetFormatPr defaultRowHeight="14.5" x14ac:dyDescent="0.35"/>
  <cols>
    <col min="1" max="1" width="14.1796875" bestFit="1" customWidth="1"/>
    <col min="2" max="2" width="12.36328125" style="8" bestFit="1" customWidth="1"/>
    <col min="3" max="3" width="6.81640625" bestFit="1" customWidth="1"/>
    <col min="4" max="4" width="7.1796875" bestFit="1" customWidth="1"/>
    <col min="5" max="6" width="7.7265625" bestFit="1" customWidth="1"/>
  </cols>
  <sheetData>
    <row r="3" spans="1:2" x14ac:dyDescent="0.35">
      <c r="A3" s="5" t="s">
        <v>7</v>
      </c>
      <c r="B3" s="7" t="s">
        <v>6215</v>
      </c>
    </row>
    <row r="4" spans="1:2" x14ac:dyDescent="0.35">
      <c r="A4" t="s">
        <v>28</v>
      </c>
      <c r="B4" s="7">
        <v>2798.5050000000001</v>
      </c>
    </row>
    <row r="5" spans="1:2" x14ac:dyDescent="0.35">
      <c r="A5" t="s">
        <v>318</v>
      </c>
      <c r="B5" s="7">
        <v>6696.8649999999989</v>
      </c>
    </row>
    <row r="6" spans="1:2" x14ac:dyDescent="0.35">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27EF-B3F3-4CEF-9EAB-63E62E443F65}">
  <dimension ref="A3:B8"/>
  <sheetViews>
    <sheetView zoomScale="70" workbookViewId="0">
      <selection activeCell="L3" sqref="L3"/>
    </sheetView>
  </sheetViews>
  <sheetFormatPr defaultRowHeight="14.5" x14ac:dyDescent="0.35"/>
  <cols>
    <col min="1" max="1" width="17.26953125" bestFit="1" customWidth="1"/>
    <col min="2" max="2" width="12.36328125" style="7" bestFit="1" customWidth="1"/>
    <col min="3" max="3" width="6.81640625" bestFit="1" customWidth="1"/>
    <col min="4" max="4" width="7.1796875" bestFit="1" customWidth="1"/>
    <col min="5" max="6" width="7.7265625" bestFit="1" customWidth="1"/>
  </cols>
  <sheetData>
    <row r="3" spans="1:2" x14ac:dyDescent="0.35">
      <c r="A3" s="5" t="s">
        <v>4</v>
      </c>
      <c r="B3" s="7" t="s">
        <v>6215</v>
      </c>
    </row>
    <row r="4" spans="1:2" x14ac:dyDescent="0.35">
      <c r="A4" t="s">
        <v>3753</v>
      </c>
      <c r="B4" s="7">
        <v>278.01</v>
      </c>
    </row>
    <row r="5" spans="1:2" x14ac:dyDescent="0.35">
      <c r="A5" t="s">
        <v>1598</v>
      </c>
      <c r="B5" s="7">
        <v>281.67499999999995</v>
      </c>
    </row>
    <row r="6" spans="1:2" x14ac:dyDescent="0.35">
      <c r="A6" t="s">
        <v>2587</v>
      </c>
      <c r="B6" s="7">
        <v>289.11</v>
      </c>
    </row>
    <row r="7" spans="1:2" x14ac:dyDescent="0.35">
      <c r="A7" t="s">
        <v>5765</v>
      </c>
      <c r="B7" s="7">
        <v>307.04499999999996</v>
      </c>
    </row>
    <row r="8" spans="1:2" x14ac:dyDescent="0.35">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82" zoomScaleNormal="115" workbookViewId="0">
      <selection activeCell="H19" sqref="H19"/>
    </sheetView>
  </sheetViews>
  <sheetFormatPr defaultRowHeight="14.5" x14ac:dyDescent="0.35"/>
  <cols>
    <col min="1" max="1" width="16.54296875" bestFit="1" customWidth="1"/>
    <col min="2" max="2" width="12" customWidth="1"/>
    <col min="3" max="3" width="17.453125" bestFit="1" customWidth="1"/>
    <col min="4" max="4" width="11.7265625" customWidth="1"/>
    <col min="5" max="5" width="10.1796875" customWidth="1"/>
    <col min="6" max="6" width="22.1796875" bestFit="1" customWidth="1"/>
    <col min="7" max="7" width="36.1796875" customWidth="1"/>
    <col min="8" max="8" width="13.6328125" customWidth="1"/>
    <col min="9" max="9" width="13" customWidth="1"/>
    <col min="10" max="10" width="12.08984375" customWidth="1"/>
    <col min="11" max="11" width="7.7265625" customWidth="1"/>
    <col min="12" max="12" width="11" customWidth="1"/>
    <col min="13" max="13" width="9.1796875" customWidth="1"/>
    <col min="14" max="14" width="18.36328125" customWidth="1"/>
    <col min="15" max="15" width="17.54296875" customWidth="1"/>
    <col min="16" max="16" width="14.179687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 MATCH(orders!I$1,  products!$A$1:$G$1,0))</f>
        <v>Rob</v>
      </c>
      <c r="J2" t="str">
        <f>INDEX(products!$A$1:$G$49,MATCH(orders!$D2,products!$A$1:$A$49,0), MATCH(orders!J$1,  products!$A$1:$G$1,0))</f>
        <v>M</v>
      </c>
      <c r="K2" s="4">
        <f>INDEX(products!$A$1:$G$49,MATCH(orders!$D2,products!$A$1:$A$49,0), MATCH(orders!K$1,  products!$A$1:$G$1,0))</f>
        <v>1</v>
      </c>
      <c r="L2" s="7">
        <f>INDEX(products!$A$1:$G$49,MATCH(orders!$D2,products!$A$1:$A$49,0), MATCH(orders!L$1,  products!$A$1:$G$1,0))</f>
        <v>9.9499999999999993</v>
      </c>
      <c r="M2" s="7">
        <f>L2*E2</f>
        <v>19.899999999999999</v>
      </c>
      <c r="N2" t="str">
        <f>IF(I2="Rob","Robusta", IF(I2="Exc","Excelsa", IF(I2="Ara", "Arabica", IF(I2="Lib", "Liberica", ""))))</f>
        <v>Robusta</v>
      </c>
      <c r="O2" t="str">
        <f>IF(J2="M", "Medium", IF(J2="L", "Light",IF(J2="D","Dark","")))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 MATCH(orders!I$1,  products!$A$1:$G$1,0))</f>
        <v>Exc</v>
      </c>
      <c r="J3" t="str">
        <f>INDEX(products!$A$1:$G$49,MATCH(orders!$D3,products!$A$1:$A$49,0), MATCH(orders!J$1,  products!$A$1:$G$1,0))</f>
        <v>M</v>
      </c>
      <c r="K3" s="4">
        <f>INDEX(products!$A$1:$G$49,MATCH(orders!$D3,products!$A$1:$A$49,0), MATCH(orders!K$1,  products!$A$1:$G$1,0))</f>
        <v>0.5</v>
      </c>
      <c r="L3" s="7">
        <f>INDEX(products!$A$1:$G$49,MATCH(orders!$D3,products!$A$1:$A$49,0), MATCH(orders!L$1,  products!$A$1:$G$1,0))</f>
        <v>8.25</v>
      </c>
      <c r="M3" s="7">
        <f t="shared" ref="M3:M66" si="0">L3*E3</f>
        <v>41.25</v>
      </c>
      <c r="N3" t="str">
        <f t="shared" ref="N3:N66" si="1">IF(I3="Rob","Robusta", IF(I3="Exc","Excelsa", IF(I3="Ara", "Arabica", IF(I3="Lib", "Liberica", ""))))</f>
        <v>Excelsa</v>
      </c>
      <c r="O3" t="str">
        <f t="shared" ref="O3:O66" si="2">IF(J3="M", "Medium", IF(J3="L", "Light",IF(J3="D","Dark","")))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 MATCH(orders!I$1,  products!$A$1:$G$1,0))</f>
        <v>Ara</v>
      </c>
      <c r="J4" t="str">
        <f>INDEX(products!$A$1:$G$49,MATCH(orders!$D4,products!$A$1:$A$49,0), MATCH(orders!J$1,  products!$A$1:$G$1,0))</f>
        <v>L</v>
      </c>
      <c r="K4" s="4">
        <f>INDEX(products!$A$1:$G$49,MATCH(orders!$D4,products!$A$1:$A$49,0), MATCH(orders!K$1,  products!$A$1:$G$1,0))</f>
        <v>1</v>
      </c>
      <c r="L4" s="7">
        <f>INDEX(products!$A$1:$G$49,MATCH(orders!$D4,products!$A$1:$A$49,0), MATCH(orders!L$1,  products!$A$1:$G$1,0))</f>
        <v>12.95</v>
      </c>
      <c r="M4" s="7">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 MATCH(orders!I$1,  products!$A$1:$G$1,0))</f>
        <v>Exc</v>
      </c>
      <c r="J5" t="str">
        <f>INDEX(products!$A$1:$G$49,MATCH(orders!$D5,products!$A$1:$A$49,0), MATCH(orders!J$1,  products!$A$1:$G$1,0))</f>
        <v>M</v>
      </c>
      <c r="K5" s="4">
        <f>INDEX(products!$A$1:$G$49,MATCH(orders!$D5,products!$A$1:$A$49,0), MATCH(orders!K$1,  products!$A$1:$G$1,0))</f>
        <v>1</v>
      </c>
      <c r="L5" s="7">
        <f>INDEX(products!$A$1:$G$49,MATCH(orders!$D5,products!$A$1:$A$49,0), MATCH(orders!L$1,  products!$A$1:$G$1,0))</f>
        <v>13.75</v>
      </c>
      <c r="M5" s="7">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 MATCH(orders!I$1,  products!$A$1:$G$1,0))</f>
        <v>Rob</v>
      </c>
      <c r="J6" t="str">
        <f>INDEX(products!$A$1:$G$49,MATCH(orders!$D6,products!$A$1:$A$49,0), MATCH(orders!J$1,  products!$A$1:$G$1,0))</f>
        <v>L</v>
      </c>
      <c r="K6" s="4">
        <f>INDEX(products!$A$1:$G$49,MATCH(orders!$D6,products!$A$1:$A$49,0), MATCH(orders!K$1,  products!$A$1:$G$1,0))</f>
        <v>2.5</v>
      </c>
      <c r="L6" s="7">
        <f>INDEX(products!$A$1:$G$49,MATCH(orders!$D6,products!$A$1:$A$49,0), MATCH(orders!L$1,  products!$A$1:$G$1,0))</f>
        <v>27.484999999999996</v>
      </c>
      <c r="M6" s="7">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 MATCH(orders!I$1,  products!$A$1:$G$1,0))</f>
        <v>Lib</v>
      </c>
      <c r="J7" t="str">
        <f>INDEX(products!$A$1:$G$49,MATCH(orders!$D7,products!$A$1:$A$49,0), MATCH(orders!J$1,  products!$A$1:$G$1,0))</f>
        <v>D</v>
      </c>
      <c r="K7" s="4">
        <f>INDEX(products!$A$1:$G$49,MATCH(orders!$D7,products!$A$1:$A$49,0), MATCH(orders!K$1,  products!$A$1:$G$1,0))</f>
        <v>1</v>
      </c>
      <c r="L7" s="7">
        <f>INDEX(products!$A$1:$G$49,MATCH(orders!$D7,products!$A$1:$A$49,0), MATCH(orders!L$1,  products!$A$1:$G$1,0))</f>
        <v>12.95</v>
      </c>
      <c r="M7" s="7">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 MATCH(orders!I$1,  products!$A$1:$G$1,0))</f>
        <v>Exc</v>
      </c>
      <c r="J8" t="str">
        <f>INDEX(products!$A$1:$G$49,MATCH(orders!$D8,products!$A$1:$A$49,0), MATCH(orders!J$1,  products!$A$1:$G$1,0))</f>
        <v>D</v>
      </c>
      <c r="K8" s="4">
        <f>INDEX(products!$A$1:$G$49,MATCH(orders!$D8,products!$A$1:$A$49,0), MATCH(orders!K$1,  products!$A$1:$G$1,0))</f>
        <v>0.5</v>
      </c>
      <c r="L8" s="7">
        <f>INDEX(products!$A$1:$G$49,MATCH(orders!$D8,products!$A$1:$A$49,0), MATCH(orders!L$1,  products!$A$1:$G$1,0))</f>
        <v>7.29</v>
      </c>
      <c r="M8" s="7">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 MATCH(orders!I$1,  products!$A$1:$G$1,0))</f>
        <v>Lib</v>
      </c>
      <c r="J9" t="str">
        <f>INDEX(products!$A$1:$G$49,MATCH(orders!$D9,products!$A$1:$A$49,0), MATCH(orders!J$1,  products!$A$1:$G$1,0))</f>
        <v>L</v>
      </c>
      <c r="K9" s="4">
        <f>INDEX(products!$A$1:$G$49,MATCH(orders!$D9,products!$A$1:$A$49,0), MATCH(orders!K$1,  products!$A$1:$G$1,0))</f>
        <v>0.2</v>
      </c>
      <c r="L9" s="7">
        <f>INDEX(products!$A$1:$G$49,MATCH(orders!$D9,products!$A$1:$A$49,0), MATCH(orders!L$1,  products!$A$1:$G$1,0))</f>
        <v>4.7549999999999999</v>
      </c>
      <c r="M9" s="7">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 MATCH(orders!I$1,  products!$A$1:$G$1,0))</f>
        <v>Rob</v>
      </c>
      <c r="J10" t="str">
        <f>INDEX(products!$A$1:$G$49,MATCH(orders!$D10,products!$A$1:$A$49,0), MATCH(orders!J$1,  products!$A$1:$G$1,0))</f>
        <v>M</v>
      </c>
      <c r="K10" s="4">
        <f>INDEX(products!$A$1:$G$49,MATCH(orders!$D10,products!$A$1:$A$49,0), MATCH(orders!K$1,  products!$A$1:$G$1,0))</f>
        <v>0.5</v>
      </c>
      <c r="L10" s="7">
        <f>INDEX(products!$A$1:$G$49,MATCH(orders!$D10,products!$A$1:$A$49,0), MATCH(orders!L$1,  products!$A$1:$G$1,0))</f>
        <v>5.97</v>
      </c>
      <c r="M10" s="7">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 MATCH(orders!I$1,  products!$A$1:$G$1,0))</f>
        <v>Rob</v>
      </c>
      <c r="J11" t="str">
        <f>INDEX(products!$A$1:$G$49,MATCH(orders!$D11,products!$A$1:$A$49,0), MATCH(orders!J$1,  products!$A$1:$G$1,0))</f>
        <v>M</v>
      </c>
      <c r="K11" s="4">
        <f>INDEX(products!$A$1:$G$49,MATCH(orders!$D11,products!$A$1:$A$49,0), MATCH(orders!K$1,  products!$A$1:$G$1,0))</f>
        <v>0.5</v>
      </c>
      <c r="L11" s="7">
        <f>INDEX(products!$A$1:$G$49,MATCH(orders!$D11,products!$A$1:$A$49,0), MATCH(orders!L$1,  products!$A$1:$G$1,0))</f>
        <v>5.97</v>
      </c>
      <c r="M11" s="7">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 MATCH(orders!I$1,  products!$A$1:$G$1,0))</f>
        <v>Ara</v>
      </c>
      <c r="J12" t="str">
        <f>INDEX(products!$A$1:$G$49,MATCH(orders!$D12,products!$A$1:$A$49,0), MATCH(orders!J$1,  products!$A$1:$G$1,0))</f>
        <v>D</v>
      </c>
      <c r="K12" s="4">
        <f>INDEX(products!$A$1:$G$49,MATCH(orders!$D12,products!$A$1:$A$49,0), MATCH(orders!K$1,  products!$A$1:$G$1,0))</f>
        <v>1</v>
      </c>
      <c r="L12" s="7">
        <f>INDEX(products!$A$1:$G$49,MATCH(orders!$D12,products!$A$1:$A$49,0), MATCH(orders!L$1,  products!$A$1:$G$1,0))</f>
        <v>9.9499999999999993</v>
      </c>
      <c r="M12" s="7">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 MATCH(orders!I$1,  products!$A$1:$G$1,0))</f>
        <v>Exc</v>
      </c>
      <c r="J13" t="str">
        <f>INDEX(products!$A$1:$G$49,MATCH(orders!$D13,products!$A$1:$A$49,0), MATCH(orders!J$1,  products!$A$1:$G$1,0))</f>
        <v>L</v>
      </c>
      <c r="K13" s="4">
        <f>INDEX(products!$A$1:$G$49,MATCH(orders!$D13,products!$A$1:$A$49,0), MATCH(orders!K$1,  products!$A$1:$G$1,0))</f>
        <v>2.5</v>
      </c>
      <c r="L13" s="7">
        <f>INDEX(products!$A$1:$G$49,MATCH(orders!$D13,products!$A$1:$A$49,0), MATCH(orders!L$1,  products!$A$1:$G$1,0))</f>
        <v>34.154999999999994</v>
      </c>
      <c r="M13" s="7">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 MATCH(orders!I$1,  products!$A$1:$G$1,0))</f>
        <v>Rob</v>
      </c>
      <c r="J14" t="str">
        <f>INDEX(products!$A$1:$G$49,MATCH(orders!$D14,products!$A$1:$A$49,0), MATCH(orders!J$1,  products!$A$1:$G$1,0))</f>
        <v>M</v>
      </c>
      <c r="K14" s="4">
        <f>INDEX(products!$A$1:$G$49,MATCH(orders!$D14,products!$A$1:$A$49,0), MATCH(orders!K$1,  products!$A$1:$G$1,0))</f>
        <v>1</v>
      </c>
      <c r="L14" s="7">
        <f>INDEX(products!$A$1:$G$49,MATCH(orders!$D14,products!$A$1:$A$49,0), MATCH(orders!L$1,  products!$A$1:$G$1,0))</f>
        <v>9.9499999999999993</v>
      </c>
      <c r="M14" s="7">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 MATCH(orders!I$1,  products!$A$1:$G$1,0))</f>
        <v>Rob</v>
      </c>
      <c r="J15" t="str">
        <f>INDEX(products!$A$1:$G$49,MATCH(orders!$D15,products!$A$1:$A$49,0), MATCH(orders!J$1,  products!$A$1:$G$1,0))</f>
        <v>D</v>
      </c>
      <c r="K15" s="4">
        <f>INDEX(products!$A$1:$G$49,MATCH(orders!$D15,products!$A$1:$A$49,0), MATCH(orders!K$1,  products!$A$1:$G$1,0))</f>
        <v>2.5</v>
      </c>
      <c r="L15" s="7">
        <f>INDEX(products!$A$1:$G$49,MATCH(orders!$D15,products!$A$1:$A$49,0), MATCH(orders!L$1,  products!$A$1:$G$1,0))</f>
        <v>20.584999999999997</v>
      </c>
      <c r="M15" s="7">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 MATCH(orders!I$1,  products!$A$1:$G$1,0))</f>
        <v>Lib</v>
      </c>
      <c r="J16" t="str">
        <f>INDEX(products!$A$1:$G$49,MATCH(orders!$D16,products!$A$1:$A$49,0), MATCH(orders!J$1,  products!$A$1:$G$1,0))</f>
        <v>D</v>
      </c>
      <c r="K16" s="4">
        <f>INDEX(products!$A$1:$G$49,MATCH(orders!$D16,products!$A$1:$A$49,0), MATCH(orders!K$1,  products!$A$1:$G$1,0))</f>
        <v>0.2</v>
      </c>
      <c r="L16" s="7">
        <f>INDEX(products!$A$1:$G$49,MATCH(orders!$D16,products!$A$1:$A$49,0), MATCH(orders!L$1,  products!$A$1:$G$1,0))</f>
        <v>3.8849999999999998</v>
      </c>
      <c r="M16" s="7">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 MATCH(orders!I$1,  products!$A$1:$G$1,0))</f>
        <v>Rob</v>
      </c>
      <c r="J17" t="str">
        <f>INDEX(products!$A$1:$G$49,MATCH(orders!$D17,products!$A$1:$A$49,0), MATCH(orders!J$1,  products!$A$1:$G$1,0))</f>
        <v>M</v>
      </c>
      <c r="K17" s="4">
        <f>INDEX(products!$A$1:$G$49,MATCH(orders!$D17,products!$A$1:$A$49,0), MATCH(orders!K$1,  products!$A$1:$G$1,0))</f>
        <v>2.5</v>
      </c>
      <c r="L17" s="7">
        <f>INDEX(products!$A$1:$G$49,MATCH(orders!$D17,products!$A$1:$A$49,0), MATCH(orders!L$1,  products!$A$1:$G$1,0))</f>
        <v>22.884999999999998</v>
      </c>
      <c r="M17" s="7">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 MATCH(orders!I$1,  products!$A$1:$G$1,0))</f>
        <v>Ara</v>
      </c>
      <c r="J18" t="str">
        <f>INDEX(products!$A$1:$G$49,MATCH(orders!$D18,products!$A$1:$A$49,0), MATCH(orders!J$1,  products!$A$1:$G$1,0))</f>
        <v>M</v>
      </c>
      <c r="K18" s="4">
        <f>INDEX(products!$A$1:$G$49,MATCH(orders!$D18,products!$A$1:$A$49,0), MATCH(orders!K$1,  products!$A$1:$G$1,0))</f>
        <v>0.2</v>
      </c>
      <c r="L18" s="7">
        <f>INDEX(products!$A$1:$G$49,MATCH(orders!$D18,products!$A$1:$A$49,0), MATCH(orders!L$1,  products!$A$1:$G$1,0))</f>
        <v>3.375</v>
      </c>
      <c r="M18" s="7">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 MATCH(orders!I$1,  products!$A$1:$G$1,0))</f>
        <v>Ara</v>
      </c>
      <c r="J19" t="str">
        <f>INDEX(products!$A$1:$G$49,MATCH(orders!$D19,products!$A$1:$A$49,0), MATCH(orders!J$1,  products!$A$1:$G$1,0))</f>
        <v>L</v>
      </c>
      <c r="K19" s="4">
        <f>INDEX(products!$A$1:$G$49,MATCH(orders!$D19,products!$A$1:$A$49,0), MATCH(orders!K$1,  products!$A$1:$G$1,0))</f>
        <v>1</v>
      </c>
      <c r="L19" s="7">
        <f>INDEX(products!$A$1:$G$49,MATCH(orders!$D19,products!$A$1:$A$49,0), MATCH(orders!L$1,  products!$A$1:$G$1,0))</f>
        <v>12.95</v>
      </c>
      <c r="M19" s="7">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 MATCH(orders!I$1,  products!$A$1:$G$1,0))</f>
        <v>Rob</v>
      </c>
      <c r="J20" t="str">
        <f>INDEX(products!$A$1:$G$49,MATCH(orders!$D20,products!$A$1:$A$49,0), MATCH(orders!J$1,  products!$A$1:$G$1,0))</f>
        <v>D</v>
      </c>
      <c r="K20" s="4">
        <f>INDEX(products!$A$1:$G$49,MATCH(orders!$D20,products!$A$1:$A$49,0), MATCH(orders!K$1,  products!$A$1:$G$1,0))</f>
        <v>2.5</v>
      </c>
      <c r="L20" s="7">
        <f>INDEX(products!$A$1:$G$49,MATCH(orders!$D20,products!$A$1:$A$49,0), MATCH(orders!L$1,  products!$A$1:$G$1,0))</f>
        <v>20.584999999999997</v>
      </c>
      <c r="M20" s="7">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 MATCH(orders!I$1,  products!$A$1:$G$1,0))</f>
        <v>Ara</v>
      </c>
      <c r="J21" t="str">
        <f>INDEX(products!$A$1:$G$49,MATCH(orders!$D21,products!$A$1:$A$49,0), MATCH(orders!J$1,  products!$A$1:$G$1,0))</f>
        <v>M</v>
      </c>
      <c r="K21" s="4">
        <f>INDEX(products!$A$1:$G$49,MATCH(orders!$D21,products!$A$1:$A$49,0), MATCH(orders!K$1,  products!$A$1:$G$1,0))</f>
        <v>0.2</v>
      </c>
      <c r="L21" s="7">
        <f>INDEX(products!$A$1:$G$49,MATCH(orders!$D21,products!$A$1:$A$49,0), MATCH(orders!L$1,  products!$A$1:$G$1,0))</f>
        <v>3.375</v>
      </c>
      <c r="M21" s="7">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 MATCH(orders!I$1,  products!$A$1:$G$1,0))</f>
        <v>Exc</v>
      </c>
      <c r="J22" t="str">
        <f>INDEX(products!$A$1:$G$49,MATCH(orders!$D22,products!$A$1:$A$49,0), MATCH(orders!J$1,  products!$A$1:$G$1,0))</f>
        <v>D</v>
      </c>
      <c r="K22" s="4">
        <f>INDEX(products!$A$1:$G$49,MATCH(orders!$D22,products!$A$1:$A$49,0), MATCH(orders!K$1,  products!$A$1:$G$1,0))</f>
        <v>0.2</v>
      </c>
      <c r="L22" s="7">
        <f>INDEX(products!$A$1:$G$49,MATCH(orders!$D22,products!$A$1:$A$49,0), MATCH(orders!L$1,  products!$A$1:$G$1,0))</f>
        <v>3.645</v>
      </c>
      <c r="M22" s="7">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 MATCH(orders!I$1,  products!$A$1:$G$1,0))</f>
        <v>Ara</v>
      </c>
      <c r="J23" t="str">
        <f>INDEX(products!$A$1:$G$49,MATCH(orders!$D23,products!$A$1:$A$49,0), MATCH(orders!J$1,  products!$A$1:$G$1,0))</f>
        <v>D</v>
      </c>
      <c r="K23" s="4">
        <f>INDEX(products!$A$1:$G$49,MATCH(orders!$D23,products!$A$1:$A$49,0), MATCH(orders!K$1,  products!$A$1:$G$1,0))</f>
        <v>0.2</v>
      </c>
      <c r="L23" s="7">
        <f>INDEX(products!$A$1:$G$49,MATCH(orders!$D23,products!$A$1:$A$49,0), MATCH(orders!L$1,  products!$A$1:$G$1,0))</f>
        <v>2.9849999999999999</v>
      </c>
      <c r="M23" s="7">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 MATCH(orders!I$1,  products!$A$1:$G$1,0))</f>
        <v>Rob</v>
      </c>
      <c r="J24" t="str">
        <f>INDEX(products!$A$1:$G$49,MATCH(orders!$D24,products!$A$1:$A$49,0), MATCH(orders!J$1,  products!$A$1:$G$1,0))</f>
        <v>M</v>
      </c>
      <c r="K24" s="4">
        <f>INDEX(products!$A$1:$G$49,MATCH(orders!$D24,products!$A$1:$A$49,0), MATCH(orders!K$1,  products!$A$1:$G$1,0))</f>
        <v>2.5</v>
      </c>
      <c r="L24" s="7">
        <f>INDEX(products!$A$1:$G$49,MATCH(orders!$D24,products!$A$1:$A$49,0), MATCH(orders!L$1,  products!$A$1:$G$1,0))</f>
        <v>22.884999999999998</v>
      </c>
      <c r="M24" s="7">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 MATCH(orders!I$1,  products!$A$1:$G$1,0))</f>
        <v>Ara</v>
      </c>
      <c r="J25" t="str">
        <f>INDEX(products!$A$1:$G$49,MATCH(orders!$D25,products!$A$1:$A$49,0), MATCH(orders!J$1,  products!$A$1:$G$1,0))</f>
        <v>D</v>
      </c>
      <c r="K25" s="4">
        <f>INDEX(products!$A$1:$G$49,MATCH(orders!$D25,products!$A$1:$A$49,0), MATCH(orders!K$1,  products!$A$1:$G$1,0))</f>
        <v>0.2</v>
      </c>
      <c r="L25" s="7">
        <f>INDEX(products!$A$1:$G$49,MATCH(orders!$D25,products!$A$1:$A$49,0), MATCH(orders!L$1,  products!$A$1:$G$1,0))</f>
        <v>2.9849999999999999</v>
      </c>
      <c r="M25" s="7">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 MATCH(orders!I$1,  products!$A$1:$G$1,0))</f>
        <v>Ara</v>
      </c>
      <c r="J26" t="str">
        <f>INDEX(products!$A$1:$G$49,MATCH(orders!$D26,products!$A$1:$A$49,0), MATCH(orders!J$1,  products!$A$1:$G$1,0))</f>
        <v>M</v>
      </c>
      <c r="K26" s="4">
        <f>INDEX(products!$A$1:$G$49,MATCH(orders!$D26,products!$A$1:$A$49,0), MATCH(orders!K$1,  products!$A$1:$G$1,0))</f>
        <v>1</v>
      </c>
      <c r="L26" s="7">
        <f>INDEX(products!$A$1:$G$49,MATCH(orders!$D26,products!$A$1:$A$49,0), MATCH(orders!L$1,  products!$A$1:$G$1,0))</f>
        <v>11.25</v>
      </c>
      <c r="M26" s="7">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 MATCH(orders!I$1,  products!$A$1:$G$1,0))</f>
        <v>Exc</v>
      </c>
      <c r="J27" t="str">
        <f>INDEX(products!$A$1:$G$49,MATCH(orders!$D27,products!$A$1:$A$49,0), MATCH(orders!J$1,  products!$A$1:$G$1,0))</f>
        <v>M</v>
      </c>
      <c r="K27" s="4">
        <f>INDEX(products!$A$1:$G$49,MATCH(orders!$D27,products!$A$1:$A$49,0), MATCH(orders!K$1,  products!$A$1:$G$1,0))</f>
        <v>0.2</v>
      </c>
      <c r="L27" s="7">
        <f>INDEX(products!$A$1:$G$49,MATCH(orders!$D27,products!$A$1:$A$49,0), MATCH(orders!L$1,  products!$A$1:$G$1,0))</f>
        <v>4.125</v>
      </c>
      <c r="M27" s="7">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 MATCH(orders!I$1,  products!$A$1:$G$1,0))</f>
        <v>Ara</v>
      </c>
      <c r="J28" t="str">
        <f>INDEX(products!$A$1:$G$49,MATCH(orders!$D28,products!$A$1:$A$49,0), MATCH(orders!J$1,  products!$A$1:$G$1,0))</f>
        <v>M</v>
      </c>
      <c r="K28" s="4">
        <f>INDEX(products!$A$1:$G$49,MATCH(orders!$D28,products!$A$1:$A$49,0), MATCH(orders!K$1,  products!$A$1:$G$1,0))</f>
        <v>0.5</v>
      </c>
      <c r="L28" s="7">
        <f>INDEX(products!$A$1:$G$49,MATCH(orders!$D28,products!$A$1:$A$49,0), MATCH(orders!L$1,  products!$A$1:$G$1,0))</f>
        <v>6.75</v>
      </c>
      <c r="M28" s="7">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 MATCH(orders!I$1,  products!$A$1:$G$1,0))</f>
        <v>Ara</v>
      </c>
      <c r="J29" t="str">
        <f>INDEX(products!$A$1:$G$49,MATCH(orders!$D29,products!$A$1:$A$49,0), MATCH(orders!J$1,  products!$A$1:$G$1,0))</f>
        <v>M</v>
      </c>
      <c r="K29" s="4">
        <f>INDEX(products!$A$1:$G$49,MATCH(orders!$D29,products!$A$1:$A$49,0), MATCH(orders!K$1,  products!$A$1:$G$1,0))</f>
        <v>0.2</v>
      </c>
      <c r="L29" s="7">
        <f>INDEX(products!$A$1:$G$49,MATCH(orders!$D29,products!$A$1:$A$49,0), MATCH(orders!L$1,  products!$A$1:$G$1,0))</f>
        <v>3.375</v>
      </c>
      <c r="M29" s="7">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 MATCH(orders!I$1,  products!$A$1:$G$1,0))</f>
        <v>Ara</v>
      </c>
      <c r="J30" t="str">
        <f>INDEX(products!$A$1:$G$49,MATCH(orders!$D30,products!$A$1:$A$49,0), MATCH(orders!J$1,  products!$A$1:$G$1,0))</f>
        <v>D</v>
      </c>
      <c r="K30" s="4">
        <f>INDEX(products!$A$1:$G$49,MATCH(orders!$D30,products!$A$1:$A$49,0), MATCH(orders!K$1,  products!$A$1:$G$1,0))</f>
        <v>0.5</v>
      </c>
      <c r="L30" s="7">
        <f>INDEX(products!$A$1:$G$49,MATCH(orders!$D30,products!$A$1:$A$49,0), MATCH(orders!L$1,  products!$A$1:$G$1,0))</f>
        <v>5.97</v>
      </c>
      <c r="M30" s="7">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 MATCH(orders!I$1,  products!$A$1:$G$1,0))</f>
        <v>Ara</v>
      </c>
      <c r="J31" t="str">
        <f>INDEX(products!$A$1:$G$49,MATCH(orders!$D31,products!$A$1:$A$49,0), MATCH(orders!J$1,  products!$A$1:$G$1,0))</f>
        <v>D</v>
      </c>
      <c r="K31" s="4">
        <f>INDEX(products!$A$1:$G$49,MATCH(orders!$D31,products!$A$1:$A$49,0), MATCH(orders!K$1,  products!$A$1:$G$1,0))</f>
        <v>1</v>
      </c>
      <c r="L31" s="7">
        <f>INDEX(products!$A$1:$G$49,MATCH(orders!$D31,products!$A$1:$A$49,0), MATCH(orders!L$1,  products!$A$1:$G$1,0))</f>
        <v>9.9499999999999993</v>
      </c>
      <c r="M31" s="7">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 MATCH(orders!I$1,  products!$A$1:$G$1,0))</f>
        <v>Lib</v>
      </c>
      <c r="J32" t="str">
        <f>INDEX(products!$A$1:$G$49,MATCH(orders!$D32,products!$A$1:$A$49,0), MATCH(orders!J$1,  products!$A$1:$G$1,0))</f>
        <v>M</v>
      </c>
      <c r="K32" s="4">
        <f>INDEX(products!$A$1:$G$49,MATCH(orders!$D32,products!$A$1:$A$49,0), MATCH(orders!K$1,  products!$A$1:$G$1,0))</f>
        <v>0.2</v>
      </c>
      <c r="L32" s="7">
        <f>INDEX(products!$A$1:$G$49,MATCH(orders!$D32,products!$A$1:$A$49,0), MATCH(orders!L$1,  products!$A$1:$G$1,0))</f>
        <v>4.3650000000000002</v>
      </c>
      <c r="M32" s="7">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 MATCH(orders!I$1,  products!$A$1:$G$1,0))</f>
        <v>Ara</v>
      </c>
      <c r="J33" t="str">
        <f>INDEX(products!$A$1:$G$49,MATCH(orders!$D33,products!$A$1:$A$49,0), MATCH(orders!J$1,  products!$A$1:$G$1,0))</f>
        <v>D</v>
      </c>
      <c r="K33" s="4">
        <f>INDEX(products!$A$1:$G$49,MATCH(orders!$D33,products!$A$1:$A$49,0), MATCH(orders!K$1,  products!$A$1:$G$1,0))</f>
        <v>0.5</v>
      </c>
      <c r="L33" s="7">
        <f>INDEX(products!$A$1:$G$49,MATCH(orders!$D33,products!$A$1:$A$49,0), MATCH(orders!L$1,  products!$A$1:$G$1,0))</f>
        <v>5.97</v>
      </c>
      <c r="M33" s="7">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 MATCH(orders!I$1,  products!$A$1:$G$1,0))</f>
        <v>Lib</v>
      </c>
      <c r="J34" t="str">
        <f>INDEX(products!$A$1:$G$49,MATCH(orders!$D34,products!$A$1:$A$49,0), MATCH(orders!J$1,  products!$A$1:$G$1,0))</f>
        <v>M</v>
      </c>
      <c r="K34" s="4">
        <f>INDEX(products!$A$1:$G$49,MATCH(orders!$D34,products!$A$1:$A$49,0), MATCH(orders!K$1,  products!$A$1:$G$1,0))</f>
        <v>0.5</v>
      </c>
      <c r="L34" s="7">
        <f>INDEX(products!$A$1:$G$49,MATCH(orders!$D34,products!$A$1:$A$49,0), MATCH(orders!L$1,  products!$A$1:$G$1,0))</f>
        <v>8.73</v>
      </c>
      <c r="M34" s="7">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 MATCH(orders!I$1,  products!$A$1:$G$1,0))</f>
        <v>Lib</v>
      </c>
      <c r="J35" t="str">
        <f>INDEX(products!$A$1:$G$49,MATCH(orders!$D35,products!$A$1:$A$49,0), MATCH(orders!J$1,  products!$A$1:$G$1,0))</f>
        <v>L</v>
      </c>
      <c r="K35" s="4">
        <f>INDEX(products!$A$1:$G$49,MATCH(orders!$D35,products!$A$1:$A$49,0), MATCH(orders!K$1,  products!$A$1:$G$1,0))</f>
        <v>0.2</v>
      </c>
      <c r="L35" s="7">
        <f>INDEX(products!$A$1:$G$49,MATCH(orders!$D35,products!$A$1:$A$49,0), MATCH(orders!L$1,  products!$A$1:$G$1,0))</f>
        <v>4.7549999999999999</v>
      </c>
      <c r="M35" s="7">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 MATCH(orders!I$1,  products!$A$1:$G$1,0))</f>
        <v>Lib</v>
      </c>
      <c r="J36" t="str">
        <f>INDEX(products!$A$1:$G$49,MATCH(orders!$D36,products!$A$1:$A$49,0), MATCH(orders!J$1,  products!$A$1:$G$1,0))</f>
        <v>L</v>
      </c>
      <c r="K36" s="4">
        <f>INDEX(products!$A$1:$G$49,MATCH(orders!$D36,products!$A$1:$A$49,0), MATCH(orders!K$1,  products!$A$1:$G$1,0))</f>
        <v>0.5</v>
      </c>
      <c r="L36" s="7">
        <f>INDEX(products!$A$1:$G$49,MATCH(orders!$D36,products!$A$1:$A$49,0), MATCH(orders!L$1,  products!$A$1:$G$1,0))</f>
        <v>9.51</v>
      </c>
      <c r="M36" s="7">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 MATCH(orders!I$1,  products!$A$1:$G$1,0))</f>
        <v>Ara</v>
      </c>
      <c r="J37" t="str">
        <f>INDEX(products!$A$1:$G$49,MATCH(orders!$D37,products!$A$1:$A$49,0), MATCH(orders!J$1,  products!$A$1:$G$1,0))</f>
        <v>D</v>
      </c>
      <c r="K37" s="4">
        <f>INDEX(products!$A$1:$G$49,MATCH(orders!$D37,products!$A$1:$A$49,0), MATCH(orders!K$1,  products!$A$1:$G$1,0))</f>
        <v>0.5</v>
      </c>
      <c r="L37" s="7">
        <f>INDEX(products!$A$1:$G$49,MATCH(orders!$D37,products!$A$1:$A$49,0), MATCH(orders!L$1,  products!$A$1:$G$1,0))</f>
        <v>5.97</v>
      </c>
      <c r="M37" s="7">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 MATCH(orders!I$1,  products!$A$1:$G$1,0))</f>
        <v>Lib</v>
      </c>
      <c r="J38" t="str">
        <f>INDEX(products!$A$1:$G$49,MATCH(orders!$D38,products!$A$1:$A$49,0), MATCH(orders!J$1,  products!$A$1:$G$1,0))</f>
        <v>M</v>
      </c>
      <c r="K38" s="4">
        <f>INDEX(products!$A$1:$G$49,MATCH(orders!$D38,products!$A$1:$A$49,0), MATCH(orders!K$1,  products!$A$1:$G$1,0))</f>
        <v>0.2</v>
      </c>
      <c r="L38" s="7">
        <f>INDEX(products!$A$1:$G$49,MATCH(orders!$D38,products!$A$1:$A$49,0), MATCH(orders!L$1,  products!$A$1:$G$1,0))</f>
        <v>4.3650000000000002</v>
      </c>
      <c r="M38" s="7">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 MATCH(orders!I$1,  products!$A$1:$G$1,0))</f>
        <v>Lib</v>
      </c>
      <c r="J39" t="str">
        <f>INDEX(products!$A$1:$G$49,MATCH(orders!$D39,products!$A$1:$A$49,0), MATCH(orders!J$1,  products!$A$1:$G$1,0))</f>
        <v>L</v>
      </c>
      <c r="K39" s="4">
        <f>INDEX(products!$A$1:$G$49,MATCH(orders!$D39,products!$A$1:$A$49,0), MATCH(orders!K$1,  products!$A$1:$G$1,0))</f>
        <v>0.5</v>
      </c>
      <c r="L39" s="7">
        <f>INDEX(products!$A$1:$G$49,MATCH(orders!$D39,products!$A$1:$A$49,0), MATCH(orders!L$1,  products!$A$1:$G$1,0))</f>
        <v>9.51</v>
      </c>
      <c r="M39" s="7">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 MATCH(orders!I$1,  products!$A$1:$G$1,0))</f>
        <v>Rob</v>
      </c>
      <c r="J40" t="str">
        <f>INDEX(products!$A$1:$G$49,MATCH(orders!$D40,products!$A$1:$A$49,0), MATCH(orders!J$1,  products!$A$1:$G$1,0))</f>
        <v>M</v>
      </c>
      <c r="K40" s="4">
        <f>INDEX(products!$A$1:$G$49,MATCH(orders!$D40,products!$A$1:$A$49,0), MATCH(orders!K$1,  products!$A$1:$G$1,0))</f>
        <v>2.5</v>
      </c>
      <c r="L40" s="7">
        <f>INDEX(products!$A$1:$G$49,MATCH(orders!$D40,products!$A$1:$A$49,0), MATCH(orders!L$1,  products!$A$1:$G$1,0))</f>
        <v>22.884999999999998</v>
      </c>
      <c r="M40" s="7">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 MATCH(orders!I$1,  products!$A$1:$G$1,0))</f>
        <v>Rob</v>
      </c>
      <c r="J41" t="str">
        <f>INDEX(products!$A$1:$G$49,MATCH(orders!$D41,products!$A$1:$A$49,0), MATCH(orders!J$1,  products!$A$1:$G$1,0))</f>
        <v>M</v>
      </c>
      <c r="K41" s="4">
        <f>INDEX(products!$A$1:$G$49,MATCH(orders!$D41,products!$A$1:$A$49,0), MATCH(orders!K$1,  products!$A$1:$G$1,0))</f>
        <v>1</v>
      </c>
      <c r="L41" s="7">
        <f>INDEX(products!$A$1:$G$49,MATCH(orders!$D41,products!$A$1:$A$49,0), MATCH(orders!L$1,  products!$A$1:$G$1,0))</f>
        <v>9.9499999999999993</v>
      </c>
      <c r="M41" s="7">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 MATCH(orders!I$1,  products!$A$1:$G$1,0))</f>
        <v>Lib</v>
      </c>
      <c r="J42" t="str">
        <f>INDEX(products!$A$1:$G$49,MATCH(orders!$D42,products!$A$1:$A$49,0), MATCH(orders!J$1,  products!$A$1:$G$1,0))</f>
        <v>M</v>
      </c>
      <c r="K42" s="4">
        <f>INDEX(products!$A$1:$G$49,MATCH(orders!$D42,products!$A$1:$A$49,0), MATCH(orders!K$1,  products!$A$1:$G$1,0))</f>
        <v>1</v>
      </c>
      <c r="L42" s="7">
        <f>INDEX(products!$A$1:$G$49,MATCH(orders!$D42,products!$A$1:$A$49,0), MATCH(orders!L$1,  products!$A$1:$G$1,0))</f>
        <v>14.55</v>
      </c>
      <c r="M42" s="7">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 MATCH(orders!I$1,  products!$A$1:$G$1,0))</f>
        <v>Exc</v>
      </c>
      <c r="J43" t="str">
        <f>INDEX(products!$A$1:$G$49,MATCH(orders!$D43,products!$A$1:$A$49,0), MATCH(orders!J$1,  products!$A$1:$G$1,0))</f>
        <v>D</v>
      </c>
      <c r="K43" s="4">
        <f>INDEX(products!$A$1:$G$49,MATCH(orders!$D43,products!$A$1:$A$49,0), MATCH(orders!K$1,  products!$A$1:$G$1,0))</f>
        <v>0.2</v>
      </c>
      <c r="L43" s="7">
        <f>INDEX(products!$A$1:$G$49,MATCH(orders!$D43,products!$A$1:$A$49,0), MATCH(orders!L$1,  products!$A$1:$G$1,0))</f>
        <v>3.645</v>
      </c>
      <c r="M43" s="7">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 MATCH(orders!I$1,  products!$A$1:$G$1,0))</f>
        <v>Rob</v>
      </c>
      <c r="J44" t="str">
        <f>INDEX(products!$A$1:$G$49,MATCH(orders!$D44,products!$A$1:$A$49,0), MATCH(orders!J$1,  products!$A$1:$G$1,0))</f>
        <v>D</v>
      </c>
      <c r="K44" s="4">
        <f>INDEX(products!$A$1:$G$49,MATCH(orders!$D44,products!$A$1:$A$49,0), MATCH(orders!K$1,  products!$A$1:$G$1,0))</f>
        <v>0.2</v>
      </c>
      <c r="L44" s="7">
        <f>INDEX(products!$A$1:$G$49,MATCH(orders!$D44,products!$A$1:$A$49,0), MATCH(orders!L$1,  products!$A$1:$G$1,0))</f>
        <v>2.6849999999999996</v>
      </c>
      <c r="M44" s="7">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 MATCH(orders!I$1,  products!$A$1:$G$1,0))</f>
        <v>Lib</v>
      </c>
      <c r="J45" t="str">
        <f>INDEX(products!$A$1:$G$49,MATCH(orders!$D45,products!$A$1:$A$49,0), MATCH(orders!J$1,  products!$A$1:$G$1,0))</f>
        <v>L</v>
      </c>
      <c r="K45" s="4">
        <f>INDEX(products!$A$1:$G$49,MATCH(orders!$D45,products!$A$1:$A$49,0), MATCH(orders!K$1,  products!$A$1:$G$1,0))</f>
        <v>2.5</v>
      </c>
      <c r="L45" s="7">
        <f>INDEX(products!$A$1:$G$49,MATCH(orders!$D45,products!$A$1:$A$49,0), MATCH(orders!L$1,  products!$A$1:$G$1,0))</f>
        <v>36.454999999999998</v>
      </c>
      <c r="M45" s="7">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 MATCH(orders!I$1,  products!$A$1:$G$1,0))</f>
        <v>Exc</v>
      </c>
      <c r="J46" t="str">
        <f>INDEX(products!$A$1:$G$49,MATCH(orders!$D46,products!$A$1:$A$49,0), MATCH(orders!J$1,  products!$A$1:$G$1,0))</f>
        <v>M</v>
      </c>
      <c r="K46" s="4">
        <f>INDEX(products!$A$1:$G$49,MATCH(orders!$D46,products!$A$1:$A$49,0), MATCH(orders!K$1,  products!$A$1:$G$1,0))</f>
        <v>0.5</v>
      </c>
      <c r="L46" s="7">
        <f>INDEX(products!$A$1:$G$49,MATCH(orders!$D46,products!$A$1:$A$49,0), MATCH(orders!L$1,  products!$A$1:$G$1,0))</f>
        <v>8.25</v>
      </c>
      <c r="M46" s="7">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 MATCH(orders!I$1,  products!$A$1:$G$1,0))</f>
        <v>Lib</v>
      </c>
      <c r="J47" t="str">
        <f>INDEX(products!$A$1:$G$49,MATCH(orders!$D47,products!$A$1:$A$49,0), MATCH(orders!J$1,  products!$A$1:$G$1,0))</f>
        <v>D</v>
      </c>
      <c r="K47" s="4">
        <f>INDEX(products!$A$1:$G$49,MATCH(orders!$D47,products!$A$1:$A$49,0), MATCH(orders!K$1,  products!$A$1:$G$1,0))</f>
        <v>2.5</v>
      </c>
      <c r="L47" s="7">
        <f>INDEX(products!$A$1:$G$49,MATCH(orders!$D47,products!$A$1:$A$49,0), MATCH(orders!L$1,  products!$A$1:$G$1,0))</f>
        <v>29.784999999999997</v>
      </c>
      <c r="M47" s="7">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 MATCH(orders!I$1,  products!$A$1:$G$1,0))</f>
        <v>Exc</v>
      </c>
      <c r="J48" t="str">
        <f>INDEX(products!$A$1:$G$49,MATCH(orders!$D48,products!$A$1:$A$49,0), MATCH(orders!J$1,  products!$A$1:$G$1,0))</f>
        <v>M</v>
      </c>
      <c r="K48" s="4">
        <f>INDEX(products!$A$1:$G$49,MATCH(orders!$D48,products!$A$1:$A$49,0), MATCH(orders!K$1,  products!$A$1:$G$1,0))</f>
        <v>2.5</v>
      </c>
      <c r="L48" s="7">
        <f>INDEX(products!$A$1:$G$49,MATCH(orders!$D48,products!$A$1:$A$49,0), MATCH(orders!L$1,  products!$A$1:$G$1,0))</f>
        <v>31.624999999999996</v>
      </c>
      <c r="M48" s="7">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 MATCH(orders!I$1,  products!$A$1:$G$1,0))</f>
        <v>Ara</v>
      </c>
      <c r="J49" t="str">
        <f>INDEX(products!$A$1:$G$49,MATCH(orders!$D49,products!$A$1:$A$49,0), MATCH(orders!J$1,  products!$A$1:$G$1,0))</f>
        <v>L</v>
      </c>
      <c r="K49" s="4">
        <f>INDEX(products!$A$1:$G$49,MATCH(orders!$D49,products!$A$1:$A$49,0), MATCH(orders!K$1,  products!$A$1:$G$1,0))</f>
        <v>0.2</v>
      </c>
      <c r="L49" s="7">
        <f>INDEX(products!$A$1:$G$49,MATCH(orders!$D49,products!$A$1:$A$49,0), MATCH(orders!L$1,  products!$A$1:$G$1,0))</f>
        <v>3.8849999999999998</v>
      </c>
      <c r="M49" s="7">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 MATCH(orders!I$1,  products!$A$1:$G$1,0))</f>
        <v>Ara</v>
      </c>
      <c r="J50" t="str">
        <f>INDEX(products!$A$1:$G$49,MATCH(orders!$D50,products!$A$1:$A$49,0), MATCH(orders!J$1,  products!$A$1:$G$1,0))</f>
        <v>D</v>
      </c>
      <c r="K50" s="4">
        <f>INDEX(products!$A$1:$G$49,MATCH(orders!$D50,products!$A$1:$A$49,0), MATCH(orders!K$1,  products!$A$1:$G$1,0))</f>
        <v>2.5</v>
      </c>
      <c r="L50" s="7">
        <f>INDEX(products!$A$1:$G$49,MATCH(orders!$D50,products!$A$1:$A$49,0), MATCH(orders!L$1,  products!$A$1:$G$1,0))</f>
        <v>22.884999999999998</v>
      </c>
      <c r="M50" s="7">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 MATCH(orders!I$1,  products!$A$1:$G$1,0))</f>
        <v>Ara</v>
      </c>
      <c r="J51" t="str">
        <f>INDEX(products!$A$1:$G$49,MATCH(orders!$D51,products!$A$1:$A$49,0), MATCH(orders!J$1,  products!$A$1:$G$1,0))</f>
        <v>L</v>
      </c>
      <c r="K51" s="4">
        <f>INDEX(products!$A$1:$G$49,MATCH(orders!$D51,products!$A$1:$A$49,0), MATCH(orders!K$1,  products!$A$1:$G$1,0))</f>
        <v>1</v>
      </c>
      <c r="L51" s="7">
        <f>INDEX(products!$A$1:$G$49,MATCH(orders!$D51,products!$A$1:$A$49,0), MATCH(orders!L$1,  products!$A$1:$G$1,0))</f>
        <v>12.95</v>
      </c>
      <c r="M51" s="7">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 MATCH(orders!I$1,  products!$A$1:$G$1,0))</f>
        <v>Lib</v>
      </c>
      <c r="J52" t="str">
        <f>INDEX(products!$A$1:$G$49,MATCH(orders!$D52,products!$A$1:$A$49,0), MATCH(orders!J$1,  products!$A$1:$G$1,0))</f>
        <v>D</v>
      </c>
      <c r="K52" s="4">
        <f>INDEX(products!$A$1:$G$49,MATCH(orders!$D52,products!$A$1:$A$49,0), MATCH(orders!K$1,  products!$A$1:$G$1,0))</f>
        <v>0.5</v>
      </c>
      <c r="L52" s="7">
        <f>INDEX(products!$A$1:$G$49,MATCH(orders!$D52,products!$A$1:$A$49,0), MATCH(orders!L$1,  products!$A$1:$G$1,0))</f>
        <v>7.77</v>
      </c>
      <c r="M52" s="7">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 MATCH(orders!I$1,  products!$A$1:$G$1,0))</f>
        <v>Lib</v>
      </c>
      <c r="J53" t="str">
        <f>INDEX(products!$A$1:$G$49,MATCH(orders!$D53,products!$A$1:$A$49,0), MATCH(orders!J$1,  products!$A$1:$G$1,0))</f>
        <v>L</v>
      </c>
      <c r="K53" s="4">
        <f>INDEX(products!$A$1:$G$49,MATCH(orders!$D53,products!$A$1:$A$49,0), MATCH(orders!K$1,  products!$A$1:$G$1,0))</f>
        <v>2.5</v>
      </c>
      <c r="L53" s="7">
        <f>INDEX(products!$A$1:$G$49,MATCH(orders!$D53,products!$A$1:$A$49,0), MATCH(orders!L$1,  products!$A$1:$G$1,0))</f>
        <v>36.454999999999998</v>
      </c>
      <c r="M53" s="7">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 MATCH(orders!I$1,  products!$A$1:$G$1,0))</f>
        <v>Rob</v>
      </c>
      <c r="J54" t="str">
        <f>INDEX(products!$A$1:$G$49,MATCH(orders!$D54,products!$A$1:$A$49,0), MATCH(orders!J$1,  products!$A$1:$G$1,0))</f>
        <v>M</v>
      </c>
      <c r="K54" s="4">
        <f>INDEX(products!$A$1:$G$49,MATCH(orders!$D54,products!$A$1:$A$49,0), MATCH(orders!K$1,  products!$A$1:$G$1,0))</f>
        <v>0.5</v>
      </c>
      <c r="L54" s="7">
        <f>INDEX(products!$A$1:$G$49,MATCH(orders!$D54,products!$A$1:$A$49,0), MATCH(orders!L$1,  products!$A$1:$G$1,0))</f>
        <v>5.97</v>
      </c>
      <c r="M54" s="7">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 MATCH(orders!I$1,  products!$A$1:$G$1,0))</f>
        <v>Lib</v>
      </c>
      <c r="J55" t="str">
        <f>INDEX(products!$A$1:$G$49,MATCH(orders!$D55,products!$A$1:$A$49,0), MATCH(orders!J$1,  products!$A$1:$G$1,0))</f>
        <v>L</v>
      </c>
      <c r="K55" s="4">
        <f>INDEX(products!$A$1:$G$49,MATCH(orders!$D55,products!$A$1:$A$49,0), MATCH(orders!K$1,  products!$A$1:$G$1,0))</f>
        <v>2.5</v>
      </c>
      <c r="L55" s="7">
        <f>INDEX(products!$A$1:$G$49,MATCH(orders!$D55,products!$A$1:$A$49,0), MATCH(orders!L$1,  products!$A$1:$G$1,0))</f>
        <v>36.454999999999998</v>
      </c>
      <c r="M55" s="7">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 MATCH(orders!I$1,  products!$A$1:$G$1,0))</f>
        <v>Lib</v>
      </c>
      <c r="J56" t="str">
        <f>INDEX(products!$A$1:$G$49,MATCH(orders!$D56,products!$A$1:$A$49,0), MATCH(orders!J$1,  products!$A$1:$G$1,0))</f>
        <v>M</v>
      </c>
      <c r="K56" s="4">
        <f>INDEX(products!$A$1:$G$49,MATCH(orders!$D56,products!$A$1:$A$49,0), MATCH(orders!K$1,  products!$A$1:$G$1,0))</f>
        <v>1</v>
      </c>
      <c r="L56" s="7">
        <f>INDEX(products!$A$1:$G$49,MATCH(orders!$D56,products!$A$1:$A$49,0), MATCH(orders!L$1,  products!$A$1:$G$1,0))</f>
        <v>14.55</v>
      </c>
      <c r="M56" s="7">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 MATCH(orders!I$1,  products!$A$1:$G$1,0))</f>
        <v>Lib</v>
      </c>
      <c r="J57" t="str">
        <f>INDEX(products!$A$1:$G$49,MATCH(orders!$D57,products!$A$1:$A$49,0), MATCH(orders!J$1,  products!$A$1:$G$1,0))</f>
        <v>L</v>
      </c>
      <c r="K57" s="4">
        <f>INDEX(products!$A$1:$G$49,MATCH(orders!$D57,products!$A$1:$A$49,0), MATCH(orders!K$1,  products!$A$1:$G$1,0))</f>
        <v>1</v>
      </c>
      <c r="L57" s="7">
        <f>INDEX(products!$A$1:$G$49,MATCH(orders!$D57,products!$A$1:$A$49,0), MATCH(orders!L$1,  products!$A$1:$G$1,0))</f>
        <v>15.85</v>
      </c>
      <c r="M57" s="7">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 MATCH(orders!I$1,  products!$A$1:$G$1,0))</f>
        <v>Exc</v>
      </c>
      <c r="J58" t="str">
        <f>INDEX(products!$A$1:$G$49,MATCH(orders!$D58,products!$A$1:$A$49,0), MATCH(orders!J$1,  products!$A$1:$G$1,0))</f>
        <v>D</v>
      </c>
      <c r="K58" s="4">
        <f>INDEX(products!$A$1:$G$49,MATCH(orders!$D58,products!$A$1:$A$49,0), MATCH(orders!K$1,  products!$A$1:$G$1,0))</f>
        <v>0.2</v>
      </c>
      <c r="L58" s="7">
        <f>INDEX(products!$A$1:$G$49,MATCH(orders!$D58,products!$A$1:$A$49,0), MATCH(orders!L$1,  products!$A$1:$G$1,0))</f>
        <v>3.645</v>
      </c>
      <c r="M58" s="7">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 MATCH(orders!I$1,  products!$A$1:$G$1,0))</f>
        <v>Exc</v>
      </c>
      <c r="J59" t="str">
        <f>INDEX(products!$A$1:$G$49,MATCH(orders!$D59,products!$A$1:$A$49,0), MATCH(orders!J$1,  products!$A$1:$G$1,0))</f>
        <v>L</v>
      </c>
      <c r="K59" s="4">
        <f>INDEX(products!$A$1:$G$49,MATCH(orders!$D59,products!$A$1:$A$49,0), MATCH(orders!K$1,  products!$A$1:$G$1,0))</f>
        <v>1</v>
      </c>
      <c r="L59" s="7">
        <f>INDEX(products!$A$1:$G$49,MATCH(orders!$D59,products!$A$1:$A$49,0), MATCH(orders!L$1,  products!$A$1:$G$1,0))</f>
        <v>14.85</v>
      </c>
      <c r="M59" s="7">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 MATCH(orders!I$1,  products!$A$1:$G$1,0))</f>
        <v>Lib</v>
      </c>
      <c r="J60" t="str">
        <f>INDEX(products!$A$1:$G$49,MATCH(orders!$D60,products!$A$1:$A$49,0), MATCH(orders!J$1,  products!$A$1:$G$1,0))</f>
        <v>D</v>
      </c>
      <c r="K60" s="4">
        <f>INDEX(products!$A$1:$G$49,MATCH(orders!$D60,products!$A$1:$A$49,0), MATCH(orders!K$1,  products!$A$1:$G$1,0))</f>
        <v>2.5</v>
      </c>
      <c r="L60" s="7">
        <f>INDEX(products!$A$1:$G$49,MATCH(orders!$D60,products!$A$1:$A$49,0), MATCH(orders!L$1,  products!$A$1:$G$1,0))</f>
        <v>29.784999999999997</v>
      </c>
      <c r="M60" s="7">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 MATCH(orders!I$1,  products!$A$1:$G$1,0))</f>
        <v>Lib</v>
      </c>
      <c r="J61" t="str">
        <f>INDEX(products!$A$1:$G$49,MATCH(orders!$D61,products!$A$1:$A$49,0), MATCH(orders!J$1,  products!$A$1:$G$1,0))</f>
        <v>M</v>
      </c>
      <c r="K61" s="4">
        <f>INDEX(products!$A$1:$G$49,MATCH(orders!$D61,products!$A$1:$A$49,0), MATCH(orders!K$1,  products!$A$1:$G$1,0))</f>
        <v>0.5</v>
      </c>
      <c r="L61" s="7">
        <f>INDEX(products!$A$1:$G$49,MATCH(orders!$D61,products!$A$1:$A$49,0), MATCH(orders!L$1,  products!$A$1:$G$1,0))</f>
        <v>8.73</v>
      </c>
      <c r="M61" s="7">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 MATCH(orders!I$1,  products!$A$1:$G$1,0))</f>
        <v>Ara</v>
      </c>
      <c r="J62" t="str">
        <f>INDEX(products!$A$1:$G$49,MATCH(orders!$D62,products!$A$1:$A$49,0), MATCH(orders!J$1,  products!$A$1:$G$1,0))</f>
        <v>D</v>
      </c>
      <c r="K62" s="4">
        <f>INDEX(products!$A$1:$G$49,MATCH(orders!$D62,products!$A$1:$A$49,0), MATCH(orders!K$1,  products!$A$1:$G$1,0))</f>
        <v>2.5</v>
      </c>
      <c r="L62" s="7">
        <f>INDEX(products!$A$1:$G$49,MATCH(orders!$D62,products!$A$1:$A$49,0), MATCH(orders!L$1,  products!$A$1:$G$1,0))</f>
        <v>22.884999999999998</v>
      </c>
      <c r="M62" s="7">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 MATCH(orders!I$1,  products!$A$1:$G$1,0))</f>
        <v>Rob</v>
      </c>
      <c r="J63" t="str">
        <f>INDEX(products!$A$1:$G$49,MATCH(orders!$D63,products!$A$1:$A$49,0), MATCH(orders!J$1,  products!$A$1:$G$1,0))</f>
        <v>D</v>
      </c>
      <c r="K63" s="4">
        <f>INDEX(products!$A$1:$G$49,MATCH(orders!$D63,products!$A$1:$A$49,0), MATCH(orders!K$1,  products!$A$1:$G$1,0))</f>
        <v>0.5</v>
      </c>
      <c r="L63" s="7">
        <f>INDEX(products!$A$1:$G$49,MATCH(orders!$D63,products!$A$1:$A$49,0), MATCH(orders!L$1,  products!$A$1:$G$1,0))</f>
        <v>5.3699999999999992</v>
      </c>
      <c r="M63" s="7">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 MATCH(orders!I$1,  products!$A$1:$G$1,0))</f>
        <v>Lib</v>
      </c>
      <c r="J64" t="str">
        <f>INDEX(products!$A$1:$G$49,MATCH(orders!$D64,products!$A$1:$A$49,0), MATCH(orders!J$1,  products!$A$1:$G$1,0))</f>
        <v>L</v>
      </c>
      <c r="K64" s="4">
        <f>INDEX(products!$A$1:$G$49,MATCH(orders!$D64,products!$A$1:$A$49,0), MATCH(orders!K$1,  products!$A$1:$G$1,0))</f>
        <v>0.2</v>
      </c>
      <c r="L64" s="7">
        <f>INDEX(products!$A$1:$G$49,MATCH(orders!$D64,products!$A$1:$A$49,0), MATCH(orders!L$1,  products!$A$1:$G$1,0))</f>
        <v>4.7549999999999999</v>
      </c>
      <c r="M64" s="7">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 MATCH(orders!I$1,  products!$A$1:$G$1,0))</f>
        <v>Ara</v>
      </c>
      <c r="J65" t="str">
        <f>INDEX(products!$A$1:$G$49,MATCH(orders!$D65,products!$A$1:$A$49,0), MATCH(orders!J$1,  products!$A$1:$G$1,0))</f>
        <v>M</v>
      </c>
      <c r="K65" s="4">
        <f>INDEX(products!$A$1:$G$49,MATCH(orders!$D65,products!$A$1:$A$49,0), MATCH(orders!K$1,  products!$A$1:$G$1,0))</f>
        <v>0.5</v>
      </c>
      <c r="L65" s="7">
        <f>INDEX(products!$A$1:$G$49,MATCH(orders!$D65,products!$A$1:$A$49,0), MATCH(orders!L$1,  products!$A$1:$G$1,0))</f>
        <v>6.75</v>
      </c>
      <c r="M65" s="7">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 MATCH(orders!I$1,  products!$A$1:$G$1,0))</f>
        <v>Rob</v>
      </c>
      <c r="J66" t="str">
        <f>INDEX(products!$A$1:$G$49,MATCH(orders!$D66,products!$A$1:$A$49,0), MATCH(orders!J$1,  products!$A$1:$G$1,0))</f>
        <v>M</v>
      </c>
      <c r="K66" s="4">
        <f>INDEX(products!$A$1:$G$49,MATCH(orders!$D66,products!$A$1:$A$49,0), MATCH(orders!K$1,  products!$A$1:$G$1,0))</f>
        <v>0.5</v>
      </c>
      <c r="L66" s="7">
        <f>INDEX(products!$A$1:$G$49,MATCH(orders!$D66,products!$A$1:$A$49,0), MATCH(orders!L$1,  products!$A$1:$G$1,0))</f>
        <v>5.97</v>
      </c>
      <c r="M66" s="7">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 MATCH(orders!I$1,  products!$A$1:$G$1,0))</f>
        <v>Rob</v>
      </c>
      <c r="J67" t="str">
        <f>INDEX(products!$A$1:$G$49,MATCH(orders!$D67,products!$A$1:$A$49,0), MATCH(orders!J$1,  products!$A$1:$G$1,0))</f>
        <v>D</v>
      </c>
      <c r="K67" s="4">
        <f>INDEX(products!$A$1:$G$49,MATCH(orders!$D67,products!$A$1:$A$49,0), MATCH(orders!K$1,  products!$A$1:$G$1,0))</f>
        <v>2.5</v>
      </c>
      <c r="L67" s="7">
        <f>INDEX(products!$A$1:$G$49,MATCH(orders!$D67,products!$A$1:$A$49,0), MATCH(orders!L$1,  products!$A$1:$G$1,0))</f>
        <v>20.584999999999997</v>
      </c>
      <c r="M67" s="7">
        <f t="shared" ref="M67:M130" si="3">L67*E67</f>
        <v>82.339999999999989</v>
      </c>
      <c r="N67" t="str">
        <f t="shared" ref="N67:N130" si="4">IF(I67="Rob","Robusta", IF(I67="Exc","Excelsa", IF(I67="Ara", "Arabica", IF(I67="Lib", "Liberica", ""))))</f>
        <v>Robusta</v>
      </c>
      <c r="O67" t="str">
        <f t="shared" ref="O67:O130" si="5">IF(J67="M", "Medium", IF(J67="L", "Light",IF(J67="D","Dark","")))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 MATCH(orders!I$1,  products!$A$1:$G$1,0))</f>
        <v>Rob</v>
      </c>
      <c r="J68" t="str">
        <f>INDEX(products!$A$1:$G$49,MATCH(orders!$D68,products!$A$1:$A$49,0), MATCH(orders!J$1,  products!$A$1:$G$1,0))</f>
        <v>L</v>
      </c>
      <c r="K68" s="4">
        <f>INDEX(products!$A$1:$G$49,MATCH(orders!$D68,products!$A$1:$A$49,0), MATCH(orders!K$1,  products!$A$1:$G$1,0))</f>
        <v>0.5</v>
      </c>
      <c r="L68" s="7">
        <f>INDEX(products!$A$1:$G$49,MATCH(orders!$D68,products!$A$1:$A$49,0), MATCH(orders!L$1,  products!$A$1:$G$1,0))</f>
        <v>7.169999999999999</v>
      </c>
      <c r="M68" s="7">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 MATCH(orders!I$1,  products!$A$1:$G$1,0))</f>
        <v>Lib</v>
      </c>
      <c r="J69" t="str">
        <f>INDEX(products!$A$1:$G$49,MATCH(orders!$D69,products!$A$1:$A$49,0), MATCH(orders!J$1,  products!$A$1:$G$1,0))</f>
        <v>L</v>
      </c>
      <c r="K69" s="4">
        <f>INDEX(products!$A$1:$G$49,MATCH(orders!$D69,products!$A$1:$A$49,0), MATCH(orders!K$1,  products!$A$1:$G$1,0))</f>
        <v>0.2</v>
      </c>
      <c r="L69" s="7">
        <f>INDEX(products!$A$1:$G$49,MATCH(orders!$D69,products!$A$1:$A$49,0), MATCH(orders!L$1,  products!$A$1:$G$1,0))</f>
        <v>4.7549999999999999</v>
      </c>
      <c r="M69" s="7">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 MATCH(orders!I$1,  products!$A$1:$G$1,0))</f>
        <v>Rob</v>
      </c>
      <c r="J70" t="str">
        <f>INDEX(products!$A$1:$G$49,MATCH(orders!$D70,products!$A$1:$A$49,0), MATCH(orders!J$1,  products!$A$1:$G$1,0))</f>
        <v>M</v>
      </c>
      <c r="K70" s="4">
        <f>INDEX(products!$A$1:$G$49,MATCH(orders!$D70,products!$A$1:$A$49,0), MATCH(orders!K$1,  products!$A$1:$G$1,0))</f>
        <v>0.2</v>
      </c>
      <c r="L70" s="7">
        <f>INDEX(products!$A$1:$G$49,MATCH(orders!$D70,products!$A$1:$A$49,0), MATCH(orders!L$1,  products!$A$1:$G$1,0))</f>
        <v>2.9849999999999999</v>
      </c>
      <c r="M70" s="7">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 MATCH(orders!I$1,  products!$A$1:$G$1,0))</f>
        <v>Rob</v>
      </c>
      <c r="J71" t="str">
        <f>INDEX(products!$A$1:$G$49,MATCH(orders!$D71,products!$A$1:$A$49,0), MATCH(orders!J$1,  products!$A$1:$G$1,0))</f>
        <v>M</v>
      </c>
      <c r="K71" s="4">
        <f>INDEX(products!$A$1:$G$49,MATCH(orders!$D71,products!$A$1:$A$49,0), MATCH(orders!K$1,  products!$A$1:$G$1,0))</f>
        <v>1</v>
      </c>
      <c r="L71" s="7">
        <f>INDEX(products!$A$1:$G$49,MATCH(orders!$D71,products!$A$1:$A$49,0), MATCH(orders!L$1,  products!$A$1:$G$1,0))</f>
        <v>9.9499999999999993</v>
      </c>
      <c r="M71" s="7">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 MATCH(orders!I$1,  products!$A$1:$G$1,0))</f>
        <v>Exc</v>
      </c>
      <c r="J72" t="str">
        <f>INDEX(products!$A$1:$G$49,MATCH(orders!$D72,products!$A$1:$A$49,0), MATCH(orders!J$1,  products!$A$1:$G$1,0))</f>
        <v>L</v>
      </c>
      <c r="K72" s="4">
        <f>INDEX(products!$A$1:$G$49,MATCH(orders!$D72,products!$A$1:$A$49,0), MATCH(orders!K$1,  products!$A$1:$G$1,0))</f>
        <v>2.5</v>
      </c>
      <c r="L72" s="7">
        <f>INDEX(products!$A$1:$G$49,MATCH(orders!$D72,products!$A$1:$A$49,0), MATCH(orders!L$1,  products!$A$1:$G$1,0))</f>
        <v>34.154999999999994</v>
      </c>
      <c r="M72" s="7">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 MATCH(orders!I$1,  products!$A$1:$G$1,0))</f>
        <v>Lib</v>
      </c>
      <c r="J73" t="str">
        <f>INDEX(products!$A$1:$G$49,MATCH(orders!$D73,products!$A$1:$A$49,0), MATCH(orders!J$1,  products!$A$1:$G$1,0))</f>
        <v>L</v>
      </c>
      <c r="K73" s="4">
        <f>INDEX(products!$A$1:$G$49,MATCH(orders!$D73,products!$A$1:$A$49,0), MATCH(orders!K$1,  products!$A$1:$G$1,0))</f>
        <v>0.2</v>
      </c>
      <c r="L73" s="7">
        <f>INDEX(products!$A$1:$G$49,MATCH(orders!$D73,products!$A$1:$A$49,0), MATCH(orders!L$1,  products!$A$1:$G$1,0))</f>
        <v>4.7549999999999999</v>
      </c>
      <c r="M73" s="7">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 MATCH(orders!I$1,  products!$A$1:$G$1,0))</f>
        <v>Ara</v>
      </c>
      <c r="J74" t="str">
        <f>INDEX(products!$A$1:$G$49,MATCH(orders!$D74,products!$A$1:$A$49,0), MATCH(orders!J$1,  products!$A$1:$G$1,0))</f>
        <v>M</v>
      </c>
      <c r="K74" s="4">
        <f>INDEX(products!$A$1:$G$49,MATCH(orders!$D74,products!$A$1:$A$49,0), MATCH(orders!K$1,  products!$A$1:$G$1,0))</f>
        <v>2.5</v>
      </c>
      <c r="L74" s="7">
        <f>INDEX(products!$A$1:$G$49,MATCH(orders!$D74,products!$A$1:$A$49,0), MATCH(orders!L$1,  products!$A$1:$G$1,0))</f>
        <v>25.874999999999996</v>
      </c>
      <c r="M74" s="7">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 MATCH(orders!I$1,  products!$A$1:$G$1,0))</f>
        <v>Lib</v>
      </c>
      <c r="J75" t="str">
        <f>INDEX(products!$A$1:$G$49,MATCH(orders!$D75,products!$A$1:$A$49,0), MATCH(orders!J$1,  products!$A$1:$G$1,0))</f>
        <v>M</v>
      </c>
      <c r="K75" s="4">
        <f>INDEX(products!$A$1:$G$49,MATCH(orders!$D75,products!$A$1:$A$49,0), MATCH(orders!K$1,  products!$A$1:$G$1,0))</f>
        <v>0.2</v>
      </c>
      <c r="L75" s="7">
        <f>INDEX(products!$A$1:$G$49,MATCH(orders!$D75,products!$A$1:$A$49,0), MATCH(orders!L$1,  products!$A$1:$G$1,0))</f>
        <v>4.3650000000000002</v>
      </c>
      <c r="M75" s="7">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 MATCH(orders!I$1,  products!$A$1:$G$1,0))</f>
        <v>Exc</v>
      </c>
      <c r="J76" t="str">
        <f>INDEX(products!$A$1:$G$49,MATCH(orders!$D76,products!$A$1:$A$49,0), MATCH(orders!J$1,  products!$A$1:$G$1,0))</f>
        <v>L</v>
      </c>
      <c r="K76" s="4">
        <f>INDEX(products!$A$1:$G$49,MATCH(orders!$D76,products!$A$1:$A$49,0), MATCH(orders!K$1,  products!$A$1:$G$1,0))</f>
        <v>0.5</v>
      </c>
      <c r="L76" s="7">
        <f>INDEX(products!$A$1:$G$49,MATCH(orders!$D76,products!$A$1:$A$49,0), MATCH(orders!L$1,  products!$A$1:$G$1,0))</f>
        <v>8.91</v>
      </c>
      <c r="M76" s="7">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 MATCH(orders!I$1,  products!$A$1:$G$1,0))</f>
        <v>Rob</v>
      </c>
      <c r="J77" t="str">
        <f>INDEX(products!$A$1:$G$49,MATCH(orders!$D77,products!$A$1:$A$49,0), MATCH(orders!J$1,  products!$A$1:$G$1,0))</f>
        <v>D</v>
      </c>
      <c r="K77" s="4">
        <f>INDEX(products!$A$1:$G$49,MATCH(orders!$D77,products!$A$1:$A$49,0), MATCH(orders!K$1,  products!$A$1:$G$1,0))</f>
        <v>1</v>
      </c>
      <c r="L77" s="7">
        <f>INDEX(products!$A$1:$G$49,MATCH(orders!$D77,products!$A$1:$A$49,0), MATCH(orders!L$1,  products!$A$1:$G$1,0))</f>
        <v>8.9499999999999993</v>
      </c>
      <c r="M77" s="7">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 MATCH(orders!I$1,  products!$A$1:$G$1,0))</f>
        <v>Rob</v>
      </c>
      <c r="J78" t="str">
        <f>INDEX(products!$A$1:$G$49,MATCH(orders!$D78,products!$A$1:$A$49,0), MATCH(orders!J$1,  products!$A$1:$G$1,0))</f>
        <v>L</v>
      </c>
      <c r="K78" s="4">
        <f>INDEX(products!$A$1:$G$49,MATCH(orders!$D78,products!$A$1:$A$49,0), MATCH(orders!K$1,  products!$A$1:$G$1,0))</f>
        <v>0.2</v>
      </c>
      <c r="L78" s="7">
        <f>INDEX(products!$A$1:$G$49,MATCH(orders!$D78,products!$A$1:$A$49,0), MATCH(orders!L$1,  products!$A$1:$G$1,0))</f>
        <v>3.5849999999999995</v>
      </c>
      <c r="M78" s="7">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 MATCH(orders!I$1,  products!$A$1:$G$1,0))</f>
        <v>Exc</v>
      </c>
      <c r="J79" t="str">
        <f>INDEX(products!$A$1:$G$49,MATCH(orders!$D79,products!$A$1:$A$49,0), MATCH(orders!J$1,  products!$A$1:$G$1,0))</f>
        <v>D</v>
      </c>
      <c r="K79" s="4">
        <f>INDEX(products!$A$1:$G$49,MATCH(orders!$D79,products!$A$1:$A$49,0), MATCH(orders!K$1,  products!$A$1:$G$1,0))</f>
        <v>0.2</v>
      </c>
      <c r="L79" s="7">
        <f>INDEX(products!$A$1:$G$49,MATCH(orders!$D79,products!$A$1:$A$49,0), MATCH(orders!L$1,  products!$A$1:$G$1,0))</f>
        <v>3.645</v>
      </c>
      <c r="M79" s="7">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 MATCH(orders!I$1,  products!$A$1:$G$1,0))</f>
        <v>Ara</v>
      </c>
      <c r="J80" t="str">
        <f>INDEX(products!$A$1:$G$49,MATCH(orders!$D80,products!$A$1:$A$49,0), MATCH(orders!J$1,  products!$A$1:$G$1,0))</f>
        <v>M</v>
      </c>
      <c r="K80" s="4">
        <f>INDEX(products!$A$1:$G$49,MATCH(orders!$D80,products!$A$1:$A$49,0), MATCH(orders!K$1,  products!$A$1:$G$1,0))</f>
        <v>0.5</v>
      </c>
      <c r="L80" s="7">
        <f>INDEX(products!$A$1:$G$49,MATCH(orders!$D80,products!$A$1:$A$49,0), MATCH(orders!L$1,  products!$A$1:$G$1,0))</f>
        <v>6.75</v>
      </c>
      <c r="M80" s="7">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 MATCH(orders!I$1,  products!$A$1:$G$1,0))</f>
        <v>Rob</v>
      </c>
      <c r="J81" t="str">
        <f>INDEX(products!$A$1:$G$49,MATCH(orders!$D81,products!$A$1:$A$49,0), MATCH(orders!J$1,  products!$A$1:$G$1,0))</f>
        <v>L</v>
      </c>
      <c r="K81" s="4">
        <f>INDEX(products!$A$1:$G$49,MATCH(orders!$D81,products!$A$1:$A$49,0), MATCH(orders!K$1,  products!$A$1:$G$1,0))</f>
        <v>1</v>
      </c>
      <c r="L81" s="7">
        <f>INDEX(products!$A$1:$G$49,MATCH(orders!$D81,products!$A$1:$A$49,0), MATCH(orders!L$1,  products!$A$1:$G$1,0))</f>
        <v>11.95</v>
      </c>
      <c r="M81" s="7">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 MATCH(orders!I$1,  products!$A$1:$G$1,0))</f>
        <v>Ara</v>
      </c>
      <c r="J82" t="str">
        <f>INDEX(products!$A$1:$G$49,MATCH(orders!$D82,products!$A$1:$A$49,0), MATCH(orders!J$1,  products!$A$1:$G$1,0))</f>
        <v>L</v>
      </c>
      <c r="K82" s="4">
        <f>INDEX(products!$A$1:$G$49,MATCH(orders!$D82,products!$A$1:$A$49,0), MATCH(orders!K$1,  products!$A$1:$G$1,0))</f>
        <v>0.5</v>
      </c>
      <c r="L82" s="7">
        <f>INDEX(products!$A$1:$G$49,MATCH(orders!$D82,products!$A$1:$A$49,0), MATCH(orders!L$1,  products!$A$1:$G$1,0))</f>
        <v>7.77</v>
      </c>
      <c r="M82" s="7">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 MATCH(orders!I$1,  products!$A$1:$G$1,0))</f>
        <v>Lib</v>
      </c>
      <c r="J83" t="str">
        <f>INDEX(products!$A$1:$G$49,MATCH(orders!$D83,products!$A$1:$A$49,0), MATCH(orders!J$1,  products!$A$1:$G$1,0))</f>
        <v>L</v>
      </c>
      <c r="K83" s="4">
        <f>INDEX(products!$A$1:$G$49,MATCH(orders!$D83,products!$A$1:$A$49,0), MATCH(orders!K$1,  products!$A$1:$G$1,0))</f>
        <v>2.5</v>
      </c>
      <c r="L83" s="7">
        <f>INDEX(products!$A$1:$G$49,MATCH(orders!$D83,products!$A$1:$A$49,0), MATCH(orders!L$1,  products!$A$1:$G$1,0))</f>
        <v>36.454999999999998</v>
      </c>
      <c r="M83" s="7">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 MATCH(orders!I$1,  products!$A$1:$G$1,0))</f>
        <v>Lib</v>
      </c>
      <c r="J84" t="str">
        <f>INDEX(products!$A$1:$G$49,MATCH(orders!$D84,products!$A$1:$A$49,0), MATCH(orders!J$1,  products!$A$1:$G$1,0))</f>
        <v>M</v>
      </c>
      <c r="K84" s="4">
        <f>INDEX(products!$A$1:$G$49,MATCH(orders!$D84,products!$A$1:$A$49,0), MATCH(orders!K$1,  products!$A$1:$G$1,0))</f>
        <v>2.5</v>
      </c>
      <c r="L84" s="7">
        <f>INDEX(products!$A$1:$G$49,MATCH(orders!$D84,products!$A$1:$A$49,0), MATCH(orders!L$1,  products!$A$1:$G$1,0))</f>
        <v>33.464999999999996</v>
      </c>
      <c r="M84" s="7">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 MATCH(orders!I$1,  products!$A$1:$G$1,0))</f>
        <v>Rob</v>
      </c>
      <c r="J85" t="str">
        <f>INDEX(products!$A$1:$G$49,MATCH(orders!$D85,products!$A$1:$A$49,0), MATCH(orders!J$1,  products!$A$1:$G$1,0))</f>
        <v>D</v>
      </c>
      <c r="K85" s="4">
        <f>INDEX(products!$A$1:$G$49,MATCH(orders!$D85,products!$A$1:$A$49,0), MATCH(orders!K$1,  products!$A$1:$G$1,0))</f>
        <v>2.5</v>
      </c>
      <c r="L85" s="7">
        <f>INDEX(products!$A$1:$G$49,MATCH(orders!$D85,products!$A$1:$A$49,0), MATCH(orders!L$1,  products!$A$1:$G$1,0))</f>
        <v>20.584999999999997</v>
      </c>
      <c r="M85" s="7">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 MATCH(orders!I$1,  products!$A$1:$G$1,0))</f>
        <v>Lib</v>
      </c>
      <c r="J86" t="str">
        <f>INDEX(products!$A$1:$G$49,MATCH(orders!$D86,products!$A$1:$A$49,0), MATCH(orders!J$1,  products!$A$1:$G$1,0))</f>
        <v>L</v>
      </c>
      <c r="K86" s="4">
        <f>INDEX(products!$A$1:$G$49,MATCH(orders!$D86,products!$A$1:$A$49,0), MATCH(orders!K$1,  products!$A$1:$G$1,0))</f>
        <v>0.5</v>
      </c>
      <c r="L86" s="7">
        <f>INDEX(products!$A$1:$G$49,MATCH(orders!$D86,products!$A$1:$A$49,0), MATCH(orders!L$1,  products!$A$1:$G$1,0))</f>
        <v>9.51</v>
      </c>
      <c r="M86" s="7">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 MATCH(orders!I$1,  products!$A$1:$G$1,0))</f>
        <v>Ara</v>
      </c>
      <c r="J87" t="str">
        <f>INDEX(products!$A$1:$G$49,MATCH(orders!$D87,products!$A$1:$A$49,0), MATCH(orders!J$1,  products!$A$1:$G$1,0))</f>
        <v>L</v>
      </c>
      <c r="K87" s="4">
        <f>INDEX(products!$A$1:$G$49,MATCH(orders!$D87,products!$A$1:$A$49,0), MATCH(orders!K$1,  products!$A$1:$G$1,0))</f>
        <v>2.5</v>
      </c>
      <c r="L87" s="7">
        <f>INDEX(products!$A$1:$G$49,MATCH(orders!$D87,products!$A$1:$A$49,0), MATCH(orders!L$1,  products!$A$1:$G$1,0))</f>
        <v>29.784999999999997</v>
      </c>
      <c r="M87" s="7">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 MATCH(orders!I$1,  products!$A$1:$G$1,0))</f>
        <v>Ara</v>
      </c>
      <c r="J88" t="str">
        <f>INDEX(products!$A$1:$G$49,MATCH(orders!$D88,products!$A$1:$A$49,0), MATCH(orders!J$1,  products!$A$1:$G$1,0))</f>
        <v>D</v>
      </c>
      <c r="K88" s="4">
        <f>INDEX(products!$A$1:$G$49,MATCH(orders!$D88,products!$A$1:$A$49,0), MATCH(orders!K$1,  products!$A$1:$G$1,0))</f>
        <v>0.2</v>
      </c>
      <c r="L88" s="7">
        <f>INDEX(products!$A$1:$G$49,MATCH(orders!$D88,products!$A$1:$A$49,0), MATCH(orders!L$1,  products!$A$1:$G$1,0))</f>
        <v>2.9849999999999999</v>
      </c>
      <c r="M88" s="7">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 MATCH(orders!I$1,  products!$A$1:$G$1,0))</f>
        <v>Ara</v>
      </c>
      <c r="J89" t="str">
        <f>INDEX(products!$A$1:$G$49,MATCH(orders!$D89,products!$A$1:$A$49,0), MATCH(orders!J$1,  products!$A$1:$G$1,0))</f>
        <v>M</v>
      </c>
      <c r="K89" s="4">
        <f>INDEX(products!$A$1:$G$49,MATCH(orders!$D89,products!$A$1:$A$49,0), MATCH(orders!K$1,  products!$A$1:$G$1,0))</f>
        <v>1</v>
      </c>
      <c r="L89" s="7">
        <f>INDEX(products!$A$1:$G$49,MATCH(orders!$D89,products!$A$1:$A$49,0), MATCH(orders!L$1,  products!$A$1:$G$1,0))</f>
        <v>11.25</v>
      </c>
      <c r="M89" s="7">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 MATCH(orders!I$1,  products!$A$1:$G$1,0))</f>
        <v>Rob</v>
      </c>
      <c r="J90" t="str">
        <f>INDEX(products!$A$1:$G$49,MATCH(orders!$D90,products!$A$1:$A$49,0), MATCH(orders!J$1,  products!$A$1:$G$1,0))</f>
        <v>L</v>
      </c>
      <c r="K90" s="4">
        <f>INDEX(products!$A$1:$G$49,MATCH(orders!$D90,products!$A$1:$A$49,0), MATCH(orders!K$1,  products!$A$1:$G$1,0))</f>
        <v>1</v>
      </c>
      <c r="L90" s="7">
        <f>INDEX(products!$A$1:$G$49,MATCH(orders!$D90,products!$A$1:$A$49,0), MATCH(orders!L$1,  products!$A$1:$G$1,0))</f>
        <v>11.95</v>
      </c>
      <c r="M90" s="7">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 MATCH(orders!I$1,  products!$A$1:$G$1,0))</f>
        <v>Ara</v>
      </c>
      <c r="J91" t="str">
        <f>INDEX(products!$A$1:$G$49,MATCH(orders!$D91,products!$A$1:$A$49,0), MATCH(orders!J$1,  products!$A$1:$G$1,0))</f>
        <v>L</v>
      </c>
      <c r="K91" s="4">
        <f>INDEX(products!$A$1:$G$49,MATCH(orders!$D91,products!$A$1:$A$49,0), MATCH(orders!K$1,  products!$A$1:$G$1,0))</f>
        <v>1</v>
      </c>
      <c r="L91" s="7">
        <f>INDEX(products!$A$1:$G$49,MATCH(orders!$D91,products!$A$1:$A$49,0), MATCH(orders!L$1,  products!$A$1:$G$1,0))</f>
        <v>12.95</v>
      </c>
      <c r="M91" s="7">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 MATCH(orders!I$1,  products!$A$1:$G$1,0))</f>
        <v>Ara</v>
      </c>
      <c r="J92" t="str">
        <f>INDEX(products!$A$1:$G$49,MATCH(orders!$D92,products!$A$1:$A$49,0), MATCH(orders!J$1,  products!$A$1:$G$1,0))</f>
        <v>L</v>
      </c>
      <c r="K92" s="4">
        <f>INDEX(products!$A$1:$G$49,MATCH(orders!$D92,products!$A$1:$A$49,0), MATCH(orders!K$1,  products!$A$1:$G$1,0))</f>
        <v>1</v>
      </c>
      <c r="L92" s="7">
        <f>INDEX(products!$A$1:$G$49,MATCH(orders!$D92,products!$A$1:$A$49,0), MATCH(orders!L$1,  products!$A$1:$G$1,0))</f>
        <v>12.95</v>
      </c>
      <c r="M92" s="7">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 MATCH(orders!I$1,  products!$A$1:$G$1,0))</f>
        <v>Ara</v>
      </c>
      <c r="J93" t="str">
        <f>INDEX(products!$A$1:$G$49,MATCH(orders!$D93,products!$A$1:$A$49,0), MATCH(orders!J$1,  products!$A$1:$G$1,0))</f>
        <v>M</v>
      </c>
      <c r="K93" s="4">
        <f>INDEX(products!$A$1:$G$49,MATCH(orders!$D93,products!$A$1:$A$49,0), MATCH(orders!K$1,  products!$A$1:$G$1,0))</f>
        <v>2.5</v>
      </c>
      <c r="L93" s="7">
        <f>INDEX(products!$A$1:$G$49,MATCH(orders!$D93,products!$A$1:$A$49,0), MATCH(orders!L$1,  products!$A$1:$G$1,0))</f>
        <v>25.874999999999996</v>
      </c>
      <c r="M93" s="7">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 MATCH(orders!I$1,  products!$A$1:$G$1,0))</f>
        <v>Exc</v>
      </c>
      <c r="J94" t="str">
        <f>INDEX(products!$A$1:$G$49,MATCH(orders!$D94,products!$A$1:$A$49,0), MATCH(orders!J$1,  products!$A$1:$G$1,0))</f>
        <v>L</v>
      </c>
      <c r="K94" s="4">
        <f>INDEX(products!$A$1:$G$49,MATCH(orders!$D94,products!$A$1:$A$49,0), MATCH(orders!K$1,  products!$A$1:$G$1,0))</f>
        <v>1</v>
      </c>
      <c r="L94" s="7">
        <f>INDEX(products!$A$1:$G$49,MATCH(orders!$D94,products!$A$1:$A$49,0), MATCH(orders!L$1,  products!$A$1:$G$1,0))</f>
        <v>14.85</v>
      </c>
      <c r="M94" s="7">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 MATCH(orders!I$1,  products!$A$1:$G$1,0))</f>
        <v>Exc</v>
      </c>
      <c r="J95" t="str">
        <f>INDEX(products!$A$1:$G$49,MATCH(orders!$D95,products!$A$1:$A$49,0), MATCH(orders!J$1,  products!$A$1:$G$1,0))</f>
        <v>L</v>
      </c>
      <c r="K95" s="4">
        <f>INDEX(products!$A$1:$G$49,MATCH(orders!$D95,products!$A$1:$A$49,0), MATCH(orders!K$1,  products!$A$1:$G$1,0))</f>
        <v>0.5</v>
      </c>
      <c r="L95" s="7">
        <f>INDEX(products!$A$1:$G$49,MATCH(orders!$D95,products!$A$1:$A$49,0), MATCH(orders!L$1,  products!$A$1:$G$1,0))</f>
        <v>8.91</v>
      </c>
      <c r="M95" s="7">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 MATCH(orders!I$1,  products!$A$1:$G$1,0))</f>
        <v>Ara</v>
      </c>
      <c r="J96" t="str">
        <f>INDEX(products!$A$1:$G$49,MATCH(orders!$D96,products!$A$1:$A$49,0), MATCH(orders!J$1,  products!$A$1:$G$1,0))</f>
        <v>D</v>
      </c>
      <c r="K96" s="4">
        <f>INDEX(products!$A$1:$G$49,MATCH(orders!$D96,products!$A$1:$A$49,0), MATCH(orders!K$1,  products!$A$1:$G$1,0))</f>
        <v>0.2</v>
      </c>
      <c r="L96" s="7">
        <f>INDEX(products!$A$1:$G$49,MATCH(orders!$D96,products!$A$1:$A$49,0), MATCH(orders!L$1,  products!$A$1:$G$1,0))</f>
        <v>2.9849999999999999</v>
      </c>
      <c r="M96" s="7">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 MATCH(orders!I$1,  products!$A$1:$G$1,0))</f>
        <v>Ara</v>
      </c>
      <c r="J97" t="str">
        <f>INDEX(products!$A$1:$G$49,MATCH(orders!$D97,products!$A$1:$A$49,0), MATCH(orders!J$1,  products!$A$1:$G$1,0))</f>
        <v>M</v>
      </c>
      <c r="K97" s="4">
        <f>INDEX(products!$A$1:$G$49,MATCH(orders!$D97,products!$A$1:$A$49,0), MATCH(orders!K$1,  products!$A$1:$G$1,0))</f>
        <v>2.5</v>
      </c>
      <c r="L97" s="7">
        <f>INDEX(products!$A$1:$G$49,MATCH(orders!$D97,products!$A$1:$A$49,0), MATCH(orders!L$1,  products!$A$1:$G$1,0))</f>
        <v>25.874999999999996</v>
      </c>
      <c r="M97" s="7">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 MATCH(orders!I$1,  products!$A$1:$G$1,0))</f>
        <v>Ara</v>
      </c>
      <c r="J98" t="str">
        <f>INDEX(products!$A$1:$G$49,MATCH(orders!$D98,products!$A$1:$A$49,0), MATCH(orders!J$1,  products!$A$1:$G$1,0))</f>
        <v>D</v>
      </c>
      <c r="K98" s="4">
        <f>INDEX(products!$A$1:$G$49,MATCH(orders!$D98,products!$A$1:$A$49,0), MATCH(orders!K$1,  products!$A$1:$G$1,0))</f>
        <v>0.2</v>
      </c>
      <c r="L98" s="7">
        <f>INDEX(products!$A$1:$G$49,MATCH(orders!$D98,products!$A$1:$A$49,0), MATCH(orders!L$1,  products!$A$1:$G$1,0))</f>
        <v>2.9849999999999999</v>
      </c>
      <c r="M98" s="7">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 MATCH(orders!I$1,  products!$A$1:$G$1,0))</f>
        <v>Ara</v>
      </c>
      <c r="J99" t="str">
        <f>INDEX(products!$A$1:$G$49,MATCH(orders!$D99,products!$A$1:$A$49,0), MATCH(orders!J$1,  products!$A$1:$G$1,0))</f>
        <v>M</v>
      </c>
      <c r="K99" s="4">
        <f>INDEX(products!$A$1:$G$49,MATCH(orders!$D99,products!$A$1:$A$49,0), MATCH(orders!K$1,  products!$A$1:$G$1,0))</f>
        <v>0.5</v>
      </c>
      <c r="L99" s="7">
        <f>INDEX(products!$A$1:$G$49,MATCH(orders!$D99,products!$A$1:$A$49,0), MATCH(orders!L$1,  products!$A$1:$G$1,0))</f>
        <v>6.75</v>
      </c>
      <c r="M99" s="7">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 MATCH(orders!I$1,  products!$A$1:$G$1,0))</f>
        <v>Ara</v>
      </c>
      <c r="J100" t="str">
        <f>INDEX(products!$A$1:$G$49,MATCH(orders!$D100,products!$A$1:$A$49,0), MATCH(orders!J$1,  products!$A$1:$G$1,0))</f>
        <v>D</v>
      </c>
      <c r="K100" s="4">
        <f>INDEX(products!$A$1:$G$49,MATCH(orders!$D100,products!$A$1:$A$49,0), MATCH(orders!K$1,  products!$A$1:$G$1,0))</f>
        <v>0.2</v>
      </c>
      <c r="L100" s="7">
        <f>INDEX(products!$A$1:$G$49,MATCH(orders!$D100,products!$A$1:$A$49,0), MATCH(orders!L$1,  products!$A$1:$G$1,0))</f>
        <v>2.9849999999999999</v>
      </c>
      <c r="M100" s="7">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 MATCH(orders!I$1,  products!$A$1:$G$1,0))</f>
        <v>Lib</v>
      </c>
      <c r="J101" t="str">
        <f>INDEX(products!$A$1:$G$49,MATCH(orders!$D101,products!$A$1:$A$49,0), MATCH(orders!J$1,  products!$A$1:$G$1,0))</f>
        <v>M</v>
      </c>
      <c r="K101" s="4">
        <f>INDEX(products!$A$1:$G$49,MATCH(orders!$D101,products!$A$1:$A$49,0), MATCH(orders!K$1,  products!$A$1:$G$1,0))</f>
        <v>0.2</v>
      </c>
      <c r="L101" s="7">
        <f>INDEX(products!$A$1:$G$49,MATCH(orders!$D101,products!$A$1:$A$49,0), MATCH(orders!L$1,  products!$A$1:$G$1,0))</f>
        <v>4.3650000000000002</v>
      </c>
      <c r="M101" s="7">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 MATCH(orders!I$1,  products!$A$1:$G$1,0))</f>
        <v>Ara</v>
      </c>
      <c r="J102" t="str">
        <f>INDEX(products!$A$1:$G$49,MATCH(orders!$D102,products!$A$1:$A$49,0), MATCH(orders!J$1,  products!$A$1:$G$1,0))</f>
        <v>L</v>
      </c>
      <c r="K102" s="4">
        <f>INDEX(products!$A$1:$G$49,MATCH(orders!$D102,products!$A$1:$A$49,0), MATCH(orders!K$1,  products!$A$1:$G$1,0))</f>
        <v>0.2</v>
      </c>
      <c r="L102" s="7">
        <f>INDEX(products!$A$1:$G$49,MATCH(orders!$D102,products!$A$1:$A$49,0), MATCH(orders!L$1,  products!$A$1:$G$1,0))</f>
        <v>3.8849999999999998</v>
      </c>
      <c r="M102" s="7">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 MATCH(orders!I$1,  products!$A$1:$G$1,0))</f>
        <v>Lib</v>
      </c>
      <c r="J103" t="str">
        <f>INDEX(products!$A$1:$G$49,MATCH(orders!$D103,products!$A$1:$A$49,0), MATCH(orders!J$1,  products!$A$1:$G$1,0))</f>
        <v>D</v>
      </c>
      <c r="K103" s="4">
        <f>INDEX(products!$A$1:$G$49,MATCH(orders!$D103,products!$A$1:$A$49,0), MATCH(orders!K$1,  products!$A$1:$G$1,0))</f>
        <v>2.5</v>
      </c>
      <c r="L103" s="7">
        <f>INDEX(products!$A$1:$G$49,MATCH(orders!$D103,products!$A$1:$A$49,0), MATCH(orders!L$1,  products!$A$1:$G$1,0))</f>
        <v>29.784999999999997</v>
      </c>
      <c r="M103" s="7">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 MATCH(orders!I$1,  products!$A$1:$G$1,0))</f>
        <v>Lib</v>
      </c>
      <c r="J104" t="str">
        <f>INDEX(products!$A$1:$G$49,MATCH(orders!$D104,products!$A$1:$A$49,0), MATCH(orders!J$1,  products!$A$1:$G$1,0))</f>
        <v>D</v>
      </c>
      <c r="K104" s="4">
        <f>INDEX(products!$A$1:$G$49,MATCH(orders!$D104,products!$A$1:$A$49,0), MATCH(orders!K$1,  products!$A$1:$G$1,0))</f>
        <v>1</v>
      </c>
      <c r="L104" s="7">
        <f>INDEX(products!$A$1:$G$49,MATCH(orders!$D104,products!$A$1:$A$49,0), MATCH(orders!L$1,  products!$A$1:$G$1,0))</f>
        <v>12.95</v>
      </c>
      <c r="M104" s="7">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 MATCH(orders!I$1,  products!$A$1:$G$1,0))</f>
        <v>Rob</v>
      </c>
      <c r="J105" t="str">
        <f>INDEX(products!$A$1:$G$49,MATCH(orders!$D105,products!$A$1:$A$49,0), MATCH(orders!J$1,  products!$A$1:$G$1,0))</f>
        <v>M</v>
      </c>
      <c r="K105" s="4">
        <f>INDEX(products!$A$1:$G$49,MATCH(orders!$D105,products!$A$1:$A$49,0), MATCH(orders!K$1,  products!$A$1:$G$1,0))</f>
        <v>0.2</v>
      </c>
      <c r="L105" s="7">
        <f>INDEX(products!$A$1:$G$49,MATCH(orders!$D105,products!$A$1:$A$49,0), MATCH(orders!L$1,  products!$A$1:$G$1,0))</f>
        <v>2.9849999999999999</v>
      </c>
      <c r="M105" s="7">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 MATCH(orders!I$1,  products!$A$1:$G$1,0))</f>
        <v>Lib</v>
      </c>
      <c r="J106" t="str">
        <f>INDEX(products!$A$1:$G$49,MATCH(orders!$D106,products!$A$1:$A$49,0), MATCH(orders!J$1,  products!$A$1:$G$1,0))</f>
        <v>M</v>
      </c>
      <c r="K106" s="4">
        <f>INDEX(products!$A$1:$G$49,MATCH(orders!$D106,products!$A$1:$A$49,0), MATCH(orders!K$1,  products!$A$1:$G$1,0))</f>
        <v>1</v>
      </c>
      <c r="L106" s="7">
        <f>INDEX(products!$A$1:$G$49,MATCH(orders!$D106,products!$A$1:$A$49,0), MATCH(orders!L$1,  products!$A$1:$G$1,0))</f>
        <v>14.55</v>
      </c>
      <c r="M106" s="7">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 MATCH(orders!I$1,  products!$A$1:$G$1,0))</f>
        <v>Ara</v>
      </c>
      <c r="J107" t="str">
        <f>INDEX(products!$A$1:$G$49,MATCH(orders!$D107,products!$A$1:$A$49,0), MATCH(orders!J$1,  products!$A$1:$G$1,0))</f>
        <v>M</v>
      </c>
      <c r="K107" s="4">
        <f>INDEX(products!$A$1:$G$49,MATCH(orders!$D107,products!$A$1:$A$49,0), MATCH(orders!K$1,  products!$A$1:$G$1,0))</f>
        <v>0.5</v>
      </c>
      <c r="L107" s="7">
        <f>INDEX(products!$A$1:$G$49,MATCH(orders!$D107,products!$A$1:$A$49,0), MATCH(orders!L$1,  products!$A$1:$G$1,0))</f>
        <v>6.75</v>
      </c>
      <c r="M107" s="7">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 MATCH(orders!I$1,  products!$A$1:$G$1,0))</f>
        <v>Exc</v>
      </c>
      <c r="J108" t="str">
        <f>INDEX(products!$A$1:$G$49,MATCH(orders!$D108,products!$A$1:$A$49,0), MATCH(orders!J$1,  products!$A$1:$G$1,0))</f>
        <v>D</v>
      </c>
      <c r="K108" s="4">
        <f>INDEX(products!$A$1:$G$49,MATCH(orders!$D108,products!$A$1:$A$49,0), MATCH(orders!K$1,  products!$A$1:$G$1,0))</f>
        <v>1</v>
      </c>
      <c r="L108" s="7">
        <f>INDEX(products!$A$1:$G$49,MATCH(orders!$D108,products!$A$1:$A$49,0), MATCH(orders!L$1,  products!$A$1:$G$1,0))</f>
        <v>12.15</v>
      </c>
      <c r="M108" s="7">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 MATCH(orders!I$1,  products!$A$1:$G$1,0))</f>
        <v>Rob</v>
      </c>
      <c r="J109" t="str">
        <f>INDEX(products!$A$1:$G$49,MATCH(orders!$D109,products!$A$1:$A$49,0), MATCH(orders!J$1,  products!$A$1:$G$1,0))</f>
        <v>M</v>
      </c>
      <c r="K109" s="4">
        <f>INDEX(products!$A$1:$G$49,MATCH(orders!$D109,products!$A$1:$A$49,0), MATCH(orders!K$1,  products!$A$1:$G$1,0))</f>
        <v>0.5</v>
      </c>
      <c r="L109" s="7">
        <f>INDEX(products!$A$1:$G$49,MATCH(orders!$D109,products!$A$1:$A$49,0), MATCH(orders!L$1,  products!$A$1:$G$1,0))</f>
        <v>5.97</v>
      </c>
      <c r="M109" s="7">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 MATCH(orders!I$1,  products!$A$1:$G$1,0))</f>
        <v>Ara</v>
      </c>
      <c r="J110" t="str">
        <f>INDEX(products!$A$1:$G$49,MATCH(orders!$D110,products!$A$1:$A$49,0), MATCH(orders!J$1,  products!$A$1:$G$1,0))</f>
        <v>M</v>
      </c>
      <c r="K110" s="4">
        <f>INDEX(products!$A$1:$G$49,MATCH(orders!$D110,products!$A$1:$A$49,0), MATCH(orders!K$1,  products!$A$1:$G$1,0))</f>
        <v>0.5</v>
      </c>
      <c r="L110" s="7">
        <f>INDEX(products!$A$1:$G$49,MATCH(orders!$D110,products!$A$1:$A$49,0), MATCH(orders!L$1,  products!$A$1:$G$1,0))</f>
        <v>6.75</v>
      </c>
      <c r="M110" s="7">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 MATCH(orders!I$1,  products!$A$1:$G$1,0))</f>
        <v>Lib</v>
      </c>
      <c r="J111" t="str">
        <f>INDEX(products!$A$1:$G$49,MATCH(orders!$D111,products!$A$1:$A$49,0), MATCH(orders!J$1,  products!$A$1:$G$1,0))</f>
        <v>D</v>
      </c>
      <c r="K111" s="4">
        <f>INDEX(products!$A$1:$G$49,MATCH(orders!$D111,products!$A$1:$A$49,0), MATCH(orders!K$1,  products!$A$1:$G$1,0))</f>
        <v>0.5</v>
      </c>
      <c r="L111" s="7">
        <f>INDEX(products!$A$1:$G$49,MATCH(orders!$D111,products!$A$1:$A$49,0), MATCH(orders!L$1,  products!$A$1:$G$1,0))</f>
        <v>7.77</v>
      </c>
      <c r="M111" s="7">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 MATCH(orders!I$1,  products!$A$1:$G$1,0))</f>
        <v>Exc</v>
      </c>
      <c r="J112" t="str">
        <f>INDEX(products!$A$1:$G$49,MATCH(orders!$D112,products!$A$1:$A$49,0), MATCH(orders!J$1,  products!$A$1:$G$1,0))</f>
        <v>L</v>
      </c>
      <c r="K112" s="4">
        <f>INDEX(products!$A$1:$G$49,MATCH(orders!$D112,products!$A$1:$A$49,0), MATCH(orders!K$1,  products!$A$1:$G$1,0))</f>
        <v>0.2</v>
      </c>
      <c r="L112" s="7">
        <f>INDEX(products!$A$1:$G$49,MATCH(orders!$D112,products!$A$1:$A$49,0), MATCH(orders!L$1,  products!$A$1:$G$1,0))</f>
        <v>4.4550000000000001</v>
      </c>
      <c r="M112" s="7">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 MATCH(orders!I$1,  products!$A$1:$G$1,0))</f>
        <v>Rob</v>
      </c>
      <c r="J113" t="str">
        <f>INDEX(products!$A$1:$G$49,MATCH(orders!$D113,products!$A$1:$A$49,0), MATCH(orders!J$1,  products!$A$1:$G$1,0))</f>
        <v>D</v>
      </c>
      <c r="K113" s="4">
        <f>INDEX(products!$A$1:$G$49,MATCH(orders!$D113,products!$A$1:$A$49,0), MATCH(orders!K$1,  products!$A$1:$G$1,0))</f>
        <v>0.5</v>
      </c>
      <c r="L113" s="7">
        <f>INDEX(products!$A$1:$G$49,MATCH(orders!$D113,products!$A$1:$A$49,0), MATCH(orders!L$1,  products!$A$1:$G$1,0))</f>
        <v>5.3699999999999992</v>
      </c>
      <c r="M113" s="7">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 MATCH(orders!I$1,  products!$A$1:$G$1,0))</f>
        <v>Ara</v>
      </c>
      <c r="J114" t="str">
        <f>INDEX(products!$A$1:$G$49,MATCH(orders!$D114,products!$A$1:$A$49,0), MATCH(orders!J$1,  products!$A$1:$G$1,0))</f>
        <v>M</v>
      </c>
      <c r="K114" s="4">
        <f>INDEX(products!$A$1:$G$49,MATCH(orders!$D114,products!$A$1:$A$49,0), MATCH(orders!K$1,  products!$A$1:$G$1,0))</f>
        <v>1</v>
      </c>
      <c r="L114" s="7">
        <f>INDEX(products!$A$1:$G$49,MATCH(orders!$D114,products!$A$1:$A$49,0), MATCH(orders!L$1,  products!$A$1:$G$1,0))</f>
        <v>11.25</v>
      </c>
      <c r="M114" s="7">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 MATCH(orders!I$1,  products!$A$1:$G$1,0))</f>
        <v>Lib</v>
      </c>
      <c r="J115" t="str">
        <f>INDEX(products!$A$1:$G$49,MATCH(orders!$D115,products!$A$1:$A$49,0), MATCH(orders!J$1,  products!$A$1:$G$1,0))</f>
        <v>M</v>
      </c>
      <c r="K115" s="4">
        <f>INDEX(products!$A$1:$G$49,MATCH(orders!$D115,products!$A$1:$A$49,0), MATCH(orders!K$1,  products!$A$1:$G$1,0))</f>
        <v>1</v>
      </c>
      <c r="L115" s="7">
        <f>INDEX(products!$A$1:$G$49,MATCH(orders!$D115,products!$A$1:$A$49,0), MATCH(orders!L$1,  products!$A$1:$G$1,0))</f>
        <v>14.55</v>
      </c>
      <c r="M115" s="7">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 MATCH(orders!I$1,  products!$A$1:$G$1,0))</f>
        <v>Rob</v>
      </c>
      <c r="J116" t="str">
        <f>INDEX(products!$A$1:$G$49,MATCH(orders!$D116,products!$A$1:$A$49,0), MATCH(orders!J$1,  products!$A$1:$G$1,0))</f>
        <v>L</v>
      </c>
      <c r="K116" s="4">
        <f>INDEX(products!$A$1:$G$49,MATCH(orders!$D116,products!$A$1:$A$49,0), MATCH(orders!K$1,  products!$A$1:$G$1,0))</f>
        <v>0.2</v>
      </c>
      <c r="L116" s="7">
        <f>INDEX(products!$A$1:$G$49,MATCH(orders!$D116,products!$A$1:$A$49,0), MATCH(orders!L$1,  products!$A$1:$G$1,0))</f>
        <v>3.5849999999999995</v>
      </c>
      <c r="M116" s="7">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 MATCH(orders!I$1,  products!$A$1:$G$1,0))</f>
        <v>Lib</v>
      </c>
      <c r="J117" t="str">
        <f>INDEX(products!$A$1:$G$49,MATCH(orders!$D117,products!$A$1:$A$49,0), MATCH(orders!J$1,  products!$A$1:$G$1,0))</f>
        <v>L</v>
      </c>
      <c r="K117" s="4">
        <f>INDEX(products!$A$1:$G$49,MATCH(orders!$D117,products!$A$1:$A$49,0), MATCH(orders!K$1,  products!$A$1:$G$1,0))</f>
        <v>1</v>
      </c>
      <c r="L117" s="7">
        <f>INDEX(products!$A$1:$G$49,MATCH(orders!$D117,products!$A$1:$A$49,0), MATCH(orders!L$1,  products!$A$1:$G$1,0))</f>
        <v>15.85</v>
      </c>
      <c r="M117" s="7">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 MATCH(orders!I$1,  products!$A$1:$G$1,0))</f>
        <v>Lib</v>
      </c>
      <c r="J118" t="str">
        <f>INDEX(products!$A$1:$G$49,MATCH(orders!$D118,products!$A$1:$A$49,0), MATCH(orders!J$1,  products!$A$1:$G$1,0))</f>
        <v>L</v>
      </c>
      <c r="K118" s="4">
        <f>INDEX(products!$A$1:$G$49,MATCH(orders!$D118,products!$A$1:$A$49,0), MATCH(orders!K$1,  products!$A$1:$G$1,0))</f>
        <v>0.2</v>
      </c>
      <c r="L118" s="7">
        <f>INDEX(products!$A$1:$G$49,MATCH(orders!$D118,products!$A$1:$A$49,0), MATCH(orders!L$1,  products!$A$1:$G$1,0))</f>
        <v>4.7549999999999999</v>
      </c>
      <c r="M118" s="7">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 MATCH(orders!I$1,  products!$A$1:$G$1,0))</f>
        <v>Lib</v>
      </c>
      <c r="J119" t="str">
        <f>INDEX(products!$A$1:$G$49,MATCH(orders!$D119,products!$A$1:$A$49,0), MATCH(orders!J$1,  products!$A$1:$G$1,0))</f>
        <v>L</v>
      </c>
      <c r="K119" s="4">
        <f>INDEX(products!$A$1:$G$49,MATCH(orders!$D119,products!$A$1:$A$49,0), MATCH(orders!K$1,  products!$A$1:$G$1,0))</f>
        <v>0.5</v>
      </c>
      <c r="L119" s="7">
        <f>INDEX(products!$A$1:$G$49,MATCH(orders!$D119,products!$A$1:$A$49,0), MATCH(orders!L$1,  products!$A$1:$G$1,0))</f>
        <v>9.51</v>
      </c>
      <c r="M119" s="7">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 MATCH(orders!I$1,  products!$A$1:$G$1,0))</f>
        <v>Exc</v>
      </c>
      <c r="J120" t="str">
        <f>INDEX(products!$A$1:$G$49,MATCH(orders!$D120,products!$A$1:$A$49,0), MATCH(orders!J$1,  products!$A$1:$G$1,0))</f>
        <v>D</v>
      </c>
      <c r="K120" s="4">
        <f>INDEX(products!$A$1:$G$49,MATCH(orders!$D120,products!$A$1:$A$49,0), MATCH(orders!K$1,  products!$A$1:$G$1,0))</f>
        <v>0.5</v>
      </c>
      <c r="L120" s="7">
        <f>INDEX(products!$A$1:$G$49,MATCH(orders!$D120,products!$A$1:$A$49,0), MATCH(orders!L$1,  products!$A$1:$G$1,0))</f>
        <v>7.29</v>
      </c>
      <c r="M120" s="7">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 MATCH(orders!I$1,  products!$A$1:$G$1,0))</f>
        <v>Exc</v>
      </c>
      <c r="J121" t="str">
        <f>INDEX(products!$A$1:$G$49,MATCH(orders!$D121,products!$A$1:$A$49,0), MATCH(orders!J$1,  products!$A$1:$G$1,0))</f>
        <v>M</v>
      </c>
      <c r="K121" s="4">
        <f>INDEX(products!$A$1:$G$49,MATCH(orders!$D121,products!$A$1:$A$49,0), MATCH(orders!K$1,  products!$A$1:$G$1,0))</f>
        <v>0.2</v>
      </c>
      <c r="L121" s="7">
        <f>INDEX(products!$A$1:$G$49,MATCH(orders!$D121,products!$A$1:$A$49,0), MATCH(orders!L$1,  products!$A$1:$G$1,0))</f>
        <v>4.125</v>
      </c>
      <c r="M121" s="7">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 MATCH(orders!I$1,  products!$A$1:$G$1,0))</f>
        <v>Ara</v>
      </c>
      <c r="J122" t="str">
        <f>INDEX(products!$A$1:$G$49,MATCH(orders!$D122,products!$A$1:$A$49,0), MATCH(orders!J$1,  products!$A$1:$G$1,0))</f>
        <v>L</v>
      </c>
      <c r="K122" s="4">
        <f>INDEX(products!$A$1:$G$49,MATCH(orders!$D122,products!$A$1:$A$49,0), MATCH(orders!K$1,  products!$A$1:$G$1,0))</f>
        <v>0.2</v>
      </c>
      <c r="L122" s="7">
        <f>INDEX(products!$A$1:$G$49,MATCH(orders!$D122,products!$A$1:$A$49,0), MATCH(orders!L$1,  products!$A$1:$G$1,0))</f>
        <v>3.8849999999999998</v>
      </c>
      <c r="M122" s="7">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 MATCH(orders!I$1,  products!$A$1:$G$1,0))</f>
        <v>Exc</v>
      </c>
      <c r="J123" t="str">
        <f>INDEX(products!$A$1:$G$49,MATCH(orders!$D123,products!$A$1:$A$49,0), MATCH(orders!J$1,  products!$A$1:$G$1,0))</f>
        <v>M</v>
      </c>
      <c r="K123" s="4">
        <f>INDEX(products!$A$1:$G$49,MATCH(orders!$D123,products!$A$1:$A$49,0), MATCH(orders!K$1,  products!$A$1:$G$1,0))</f>
        <v>1</v>
      </c>
      <c r="L123" s="7">
        <f>INDEX(products!$A$1:$G$49,MATCH(orders!$D123,products!$A$1:$A$49,0), MATCH(orders!L$1,  products!$A$1:$G$1,0))</f>
        <v>13.75</v>
      </c>
      <c r="M123" s="7">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 MATCH(orders!I$1,  products!$A$1:$G$1,0))</f>
        <v>Ara</v>
      </c>
      <c r="J124" t="str">
        <f>INDEX(products!$A$1:$G$49,MATCH(orders!$D124,products!$A$1:$A$49,0), MATCH(orders!J$1,  products!$A$1:$G$1,0))</f>
        <v>D</v>
      </c>
      <c r="K124" s="4">
        <f>INDEX(products!$A$1:$G$49,MATCH(orders!$D124,products!$A$1:$A$49,0), MATCH(orders!K$1,  products!$A$1:$G$1,0))</f>
        <v>0.5</v>
      </c>
      <c r="L124" s="7">
        <f>INDEX(products!$A$1:$G$49,MATCH(orders!$D124,products!$A$1:$A$49,0), MATCH(orders!L$1,  products!$A$1:$G$1,0))</f>
        <v>5.97</v>
      </c>
      <c r="M124" s="7">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 MATCH(orders!I$1,  products!$A$1:$G$1,0))</f>
        <v>Lib</v>
      </c>
      <c r="J125" t="str">
        <f>INDEX(products!$A$1:$G$49,MATCH(orders!$D125,products!$A$1:$A$49,0), MATCH(orders!J$1,  products!$A$1:$G$1,0))</f>
        <v>L</v>
      </c>
      <c r="K125" s="4">
        <f>INDEX(products!$A$1:$G$49,MATCH(orders!$D125,products!$A$1:$A$49,0), MATCH(orders!K$1,  products!$A$1:$G$1,0))</f>
        <v>2.5</v>
      </c>
      <c r="L125" s="7">
        <f>INDEX(products!$A$1:$G$49,MATCH(orders!$D125,products!$A$1:$A$49,0), MATCH(orders!L$1,  products!$A$1:$G$1,0))</f>
        <v>36.454999999999998</v>
      </c>
      <c r="M125" s="7">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 MATCH(orders!I$1,  products!$A$1:$G$1,0))</f>
        <v>Lib</v>
      </c>
      <c r="J126" t="str">
        <f>INDEX(products!$A$1:$G$49,MATCH(orders!$D126,products!$A$1:$A$49,0), MATCH(orders!J$1,  products!$A$1:$G$1,0))</f>
        <v>M</v>
      </c>
      <c r="K126" s="4">
        <f>INDEX(products!$A$1:$G$49,MATCH(orders!$D126,products!$A$1:$A$49,0), MATCH(orders!K$1,  products!$A$1:$G$1,0))</f>
        <v>0.2</v>
      </c>
      <c r="L126" s="7">
        <f>INDEX(products!$A$1:$G$49,MATCH(orders!$D126,products!$A$1:$A$49,0), MATCH(orders!L$1,  products!$A$1:$G$1,0))</f>
        <v>4.3650000000000002</v>
      </c>
      <c r="M126" s="7">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 MATCH(orders!I$1,  products!$A$1:$G$1,0))</f>
        <v>Lib</v>
      </c>
      <c r="J127" t="str">
        <f>INDEX(products!$A$1:$G$49,MATCH(orders!$D127,products!$A$1:$A$49,0), MATCH(orders!J$1,  products!$A$1:$G$1,0))</f>
        <v>M</v>
      </c>
      <c r="K127" s="4">
        <f>INDEX(products!$A$1:$G$49,MATCH(orders!$D127,products!$A$1:$A$49,0), MATCH(orders!K$1,  products!$A$1:$G$1,0))</f>
        <v>0.5</v>
      </c>
      <c r="L127" s="7">
        <f>INDEX(products!$A$1:$G$49,MATCH(orders!$D127,products!$A$1:$A$49,0), MATCH(orders!L$1,  products!$A$1:$G$1,0))</f>
        <v>8.73</v>
      </c>
      <c r="M127" s="7">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 MATCH(orders!I$1,  products!$A$1:$G$1,0))</f>
        <v>Ara</v>
      </c>
      <c r="J128" t="str">
        <f>INDEX(products!$A$1:$G$49,MATCH(orders!$D128,products!$A$1:$A$49,0), MATCH(orders!J$1,  products!$A$1:$G$1,0))</f>
        <v>M</v>
      </c>
      <c r="K128" s="4">
        <f>INDEX(products!$A$1:$G$49,MATCH(orders!$D128,products!$A$1:$A$49,0), MATCH(orders!K$1,  products!$A$1:$G$1,0))</f>
        <v>1</v>
      </c>
      <c r="L128" s="7">
        <f>INDEX(products!$A$1:$G$49,MATCH(orders!$D128,products!$A$1:$A$49,0), MATCH(orders!L$1,  products!$A$1:$G$1,0))</f>
        <v>11.25</v>
      </c>
      <c r="M128" s="7">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 MATCH(orders!I$1,  products!$A$1:$G$1,0))</f>
        <v>Lib</v>
      </c>
      <c r="J129" t="str">
        <f>INDEX(products!$A$1:$G$49,MATCH(orders!$D129,products!$A$1:$A$49,0), MATCH(orders!J$1,  products!$A$1:$G$1,0))</f>
        <v>D</v>
      </c>
      <c r="K129" s="4">
        <f>INDEX(products!$A$1:$G$49,MATCH(orders!$D129,products!$A$1:$A$49,0), MATCH(orders!K$1,  products!$A$1:$G$1,0))</f>
        <v>1</v>
      </c>
      <c r="L129" s="7">
        <f>INDEX(products!$A$1:$G$49,MATCH(orders!$D129,products!$A$1:$A$49,0), MATCH(orders!L$1,  products!$A$1:$G$1,0))</f>
        <v>12.95</v>
      </c>
      <c r="M129" s="7">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 MATCH(orders!I$1,  products!$A$1:$G$1,0))</f>
        <v>Ara</v>
      </c>
      <c r="J130" t="str">
        <f>INDEX(products!$A$1:$G$49,MATCH(orders!$D130,products!$A$1:$A$49,0), MATCH(orders!J$1,  products!$A$1:$G$1,0))</f>
        <v>M</v>
      </c>
      <c r="K130" s="4">
        <f>INDEX(products!$A$1:$G$49,MATCH(orders!$D130,products!$A$1:$A$49,0), MATCH(orders!K$1,  products!$A$1:$G$1,0))</f>
        <v>0.5</v>
      </c>
      <c r="L130" s="7">
        <f>INDEX(products!$A$1:$G$49,MATCH(orders!$D130,products!$A$1:$A$49,0), MATCH(orders!L$1,  products!$A$1:$G$1,0))</f>
        <v>6.75</v>
      </c>
      <c r="M130" s="7">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 MATCH(orders!I$1,  products!$A$1:$G$1,0))</f>
        <v>Exc</v>
      </c>
      <c r="J131" t="str">
        <f>INDEX(products!$A$1:$G$49,MATCH(orders!$D131,products!$A$1:$A$49,0), MATCH(orders!J$1,  products!$A$1:$G$1,0))</f>
        <v>D</v>
      </c>
      <c r="K131" s="4">
        <f>INDEX(products!$A$1:$G$49,MATCH(orders!$D131,products!$A$1:$A$49,0), MATCH(orders!K$1,  products!$A$1:$G$1,0))</f>
        <v>1</v>
      </c>
      <c r="L131" s="7">
        <f>INDEX(products!$A$1:$G$49,MATCH(orders!$D131,products!$A$1:$A$49,0), MATCH(orders!L$1,  products!$A$1:$G$1,0))</f>
        <v>12.15</v>
      </c>
      <c r="M131" s="7">
        <f t="shared" ref="M131:M194" si="6">L131*E131</f>
        <v>12.15</v>
      </c>
      <c r="N131" t="str">
        <f t="shared" ref="N131:N194" si="7">IF(I131="Rob","Robusta", IF(I131="Exc","Excelsa", IF(I131="Ara", "Arabica", IF(I131="Lib", "Liberica", ""))))</f>
        <v>Excelsa</v>
      </c>
      <c r="O131" t="str">
        <f t="shared" ref="O131:O194" si="8">IF(J131="M", "Medium", IF(J131="L", "Light",IF(J131="D","Dark","")))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 MATCH(orders!I$1,  products!$A$1:$G$1,0))</f>
        <v>Ara</v>
      </c>
      <c r="J132" t="str">
        <f>INDEX(products!$A$1:$G$49,MATCH(orders!$D132,products!$A$1:$A$49,0), MATCH(orders!J$1,  products!$A$1:$G$1,0))</f>
        <v>L</v>
      </c>
      <c r="K132" s="4">
        <f>INDEX(products!$A$1:$G$49,MATCH(orders!$D132,products!$A$1:$A$49,0), MATCH(orders!K$1,  products!$A$1:$G$1,0))</f>
        <v>2.5</v>
      </c>
      <c r="L132" s="7">
        <f>INDEX(products!$A$1:$G$49,MATCH(orders!$D132,products!$A$1:$A$49,0), MATCH(orders!L$1,  products!$A$1:$G$1,0))</f>
        <v>29.784999999999997</v>
      </c>
      <c r="M132" s="7">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 MATCH(orders!I$1,  products!$A$1:$G$1,0))</f>
        <v>Exc</v>
      </c>
      <c r="J133" t="str">
        <f>INDEX(products!$A$1:$G$49,MATCH(orders!$D133,products!$A$1:$A$49,0), MATCH(orders!J$1,  products!$A$1:$G$1,0))</f>
        <v>D</v>
      </c>
      <c r="K133" s="4">
        <f>INDEX(products!$A$1:$G$49,MATCH(orders!$D133,products!$A$1:$A$49,0), MATCH(orders!K$1,  products!$A$1:$G$1,0))</f>
        <v>0.5</v>
      </c>
      <c r="L133" s="7">
        <f>INDEX(products!$A$1:$G$49,MATCH(orders!$D133,products!$A$1:$A$49,0), MATCH(orders!L$1,  products!$A$1:$G$1,0))</f>
        <v>7.29</v>
      </c>
      <c r="M133" s="7">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 MATCH(orders!I$1,  products!$A$1:$G$1,0))</f>
        <v>Ara</v>
      </c>
      <c r="J134" t="str">
        <f>INDEX(products!$A$1:$G$49,MATCH(orders!$D134,products!$A$1:$A$49,0), MATCH(orders!J$1,  products!$A$1:$G$1,0))</f>
        <v>L</v>
      </c>
      <c r="K134" s="4">
        <f>INDEX(products!$A$1:$G$49,MATCH(orders!$D134,products!$A$1:$A$49,0), MATCH(orders!K$1,  products!$A$1:$G$1,0))</f>
        <v>2.5</v>
      </c>
      <c r="L134" s="7">
        <f>INDEX(products!$A$1:$G$49,MATCH(orders!$D134,products!$A$1:$A$49,0), MATCH(orders!L$1,  products!$A$1:$G$1,0))</f>
        <v>29.784999999999997</v>
      </c>
      <c r="M134" s="7">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 MATCH(orders!I$1,  products!$A$1:$G$1,0))</f>
        <v>Lib</v>
      </c>
      <c r="J135" t="str">
        <f>INDEX(products!$A$1:$G$49,MATCH(orders!$D135,products!$A$1:$A$49,0), MATCH(orders!J$1,  products!$A$1:$G$1,0))</f>
        <v>D</v>
      </c>
      <c r="K135" s="4">
        <f>INDEX(products!$A$1:$G$49,MATCH(orders!$D135,products!$A$1:$A$49,0), MATCH(orders!K$1,  products!$A$1:$G$1,0))</f>
        <v>1</v>
      </c>
      <c r="L135" s="7">
        <f>INDEX(products!$A$1:$G$49,MATCH(orders!$D135,products!$A$1:$A$49,0), MATCH(orders!L$1,  products!$A$1:$G$1,0))</f>
        <v>12.95</v>
      </c>
      <c r="M135" s="7">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 MATCH(orders!I$1,  products!$A$1:$G$1,0))</f>
        <v>Exc</v>
      </c>
      <c r="J136" t="str">
        <f>INDEX(products!$A$1:$G$49,MATCH(orders!$D136,products!$A$1:$A$49,0), MATCH(orders!J$1,  products!$A$1:$G$1,0))</f>
        <v>M</v>
      </c>
      <c r="K136" s="4">
        <f>INDEX(products!$A$1:$G$49,MATCH(orders!$D136,products!$A$1:$A$49,0), MATCH(orders!K$1,  products!$A$1:$G$1,0))</f>
        <v>2.5</v>
      </c>
      <c r="L136" s="7">
        <f>INDEX(products!$A$1:$G$49,MATCH(orders!$D136,products!$A$1:$A$49,0), MATCH(orders!L$1,  products!$A$1:$G$1,0))</f>
        <v>31.624999999999996</v>
      </c>
      <c r="M136" s="7">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 MATCH(orders!I$1,  products!$A$1:$G$1,0))</f>
        <v>Ara</v>
      </c>
      <c r="J137" t="str">
        <f>INDEX(products!$A$1:$G$49,MATCH(orders!$D137,products!$A$1:$A$49,0), MATCH(orders!J$1,  products!$A$1:$G$1,0))</f>
        <v>L</v>
      </c>
      <c r="K137" s="4">
        <f>INDEX(products!$A$1:$G$49,MATCH(orders!$D137,products!$A$1:$A$49,0), MATCH(orders!K$1,  products!$A$1:$G$1,0))</f>
        <v>0.5</v>
      </c>
      <c r="L137" s="7">
        <f>INDEX(products!$A$1:$G$49,MATCH(orders!$D137,products!$A$1:$A$49,0), MATCH(orders!L$1,  products!$A$1:$G$1,0))</f>
        <v>7.77</v>
      </c>
      <c r="M137" s="7">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 MATCH(orders!I$1,  products!$A$1:$G$1,0))</f>
        <v>Ara</v>
      </c>
      <c r="J138" t="str">
        <f>INDEX(products!$A$1:$G$49,MATCH(orders!$D138,products!$A$1:$A$49,0), MATCH(orders!J$1,  products!$A$1:$G$1,0))</f>
        <v>D</v>
      </c>
      <c r="K138" s="4">
        <f>INDEX(products!$A$1:$G$49,MATCH(orders!$D138,products!$A$1:$A$49,0), MATCH(orders!K$1,  products!$A$1:$G$1,0))</f>
        <v>0.2</v>
      </c>
      <c r="L138" s="7">
        <f>INDEX(products!$A$1:$G$49,MATCH(orders!$D138,products!$A$1:$A$49,0), MATCH(orders!L$1,  products!$A$1:$G$1,0))</f>
        <v>2.9849999999999999</v>
      </c>
      <c r="M138" s="7">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 MATCH(orders!I$1,  products!$A$1:$G$1,0))</f>
        <v>Exc</v>
      </c>
      <c r="J139" t="str">
        <f>INDEX(products!$A$1:$G$49,MATCH(orders!$D139,products!$A$1:$A$49,0), MATCH(orders!J$1,  products!$A$1:$G$1,0))</f>
        <v>L</v>
      </c>
      <c r="K139" s="4">
        <f>INDEX(products!$A$1:$G$49,MATCH(orders!$D139,products!$A$1:$A$49,0), MATCH(orders!K$1,  products!$A$1:$G$1,0))</f>
        <v>2.5</v>
      </c>
      <c r="L139" s="7">
        <f>INDEX(products!$A$1:$G$49,MATCH(orders!$D139,products!$A$1:$A$49,0), MATCH(orders!L$1,  products!$A$1:$G$1,0))</f>
        <v>34.154999999999994</v>
      </c>
      <c r="M139" s="7">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 MATCH(orders!I$1,  products!$A$1:$G$1,0))</f>
        <v>Exc</v>
      </c>
      <c r="J140" t="str">
        <f>INDEX(products!$A$1:$G$49,MATCH(orders!$D140,products!$A$1:$A$49,0), MATCH(orders!J$1,  products!$A$1:$G$1,0))</f>
        <v>D</v>
      </c>
      <c r="K140" s="4">
        <f>INDEX(products!$A$1:$G$49,MATCH(orders!$D140,products!$A$1:$A$49,0), MATCH(orders!K$1,  products!$A$1:$G$1,0))</f>
        <v>1</v>
      </c>
      <c r="L140" s="7">
        <f>INDEX(products!$A$1:$G$49,MATCH(orders!$D140,products!$A$1:$A$49,0), MATCH(orders!L$1,  products!$A$1:$G$1,0))</f>
        <v>12.15</v>
      </c>
      <c r="M140" s="7">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 MATCH(orders!I$1,  products!$A$1:$G$1,0))</f>
        <v>Lib</v>
      </c>
      <c r="J141" t="str">
        <f>INDEX(products!$A$1:$G$49,MATCH(orders!$D141,products!$A$1:$A$49,0), MATCH(orders!J$1,  products!$A$1:$G$1,0))</f>
        <v>D</v>
      </c>
      <c r="K141" s="4">
        <f>INDEX(products!$A$1:$G$49,MATCH(orders!$D141,products!$A$1:$A$49,0), MATCH(orders!K$1,  products!$A$1:$G$1,0))</f>
        <v>1</v>
      </c>
      <c r="L141" s="7">
        <f>INDEX(products!$A$1:$G$49,MATCH(orders!$D141,products!$A$1:$A$49,0), MATCH(orders!L$1,  products!$A$1:$G$1,0))</f>
        <v>12.95</v>
      </c>
      <c r="M141" s="7">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 MATCH(orders!I$1,  products!$A$1:$G$1,0))</f>
        <v>Lib</v>
      </c>
      <c r="J142" t="str">
        <f>INDEX(products!$A$1:$G$49,MATCH(orders!$D142,products!$A$1:$A$49,0), MATCH(orders!J$1,  products!$A$1:$G$1,0))</f>
        <v>D</v>
      </c>
      <c r="K142" s="4">
        <f>INDEX(products!$A$1:$G$49,MATCH(orders!$D142,products!$A$1:$A$49,0), MATCH(orders!K$1,  products!$A$1:$G$1,0))</f>
        <v>2.5</v>
      </c>
      <c r="L142" s="7">
        <f>INDEX(products!$A$1:$G$49,MATCH(orders!$D142,products!$A$1:$A$49,0), MATCH(orders!L$1,  products!$A$1:$G$1,0))</f>
        <v>29.784999999999997</v>
      </c>
      <c r="M142" s="7">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 MATCH(orders!I$1,  products!$A$1:$G$1,0))</f>
        <v>Ara</v>
      </c>
      <c r="J143" t="str">
        <f>INDEX(products!$A$1:$G$49,MATCH(orders!$D143,products!$A$1:$A$49,0), MATCH(orders!J$1,  products!$A$1:$G$1,0))</f>
        <v>L</v>
      </c>
      <c r="K143" s="4">
        <f>INDEX(products!$A$1:$G$49,MATCH(orders!$D143,products!$A$1:$A$49,0), MATCH(orders!K$1,  products!$A$1:$G$1,0))</f>
        <v>0.2</v>
      </c>
      <c r="L143" s="7">
        <f>INDEX(products!$A$1:$G$49,MATCH(orders!$D143,products!$A$1:$A$49,0), MATCH(orders!L$1,  products!$A$1:$G$1,0))</f>
        <v>3.8849999999999998</v>
      </c>
      <c r="M143" s="7">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 MATCH(orders!I$1,  products!$A$1:$G$1,0))</f>
        <v>Exc</v>
      </c>
      <c r="J144" t="str">
        <f>INDEX(products!$A$1:$G$49,MATCH(orders!$D144,products!$A$1:$A$49,0), MATCH(orders!J$1,  products!$A$1:$G$1,0))</f>
        <v>L</v>
      </c>
      <c r="K144" s="4">
        <f>INDEX(products!$A$1:$G$49,MATCH(orders!$D144,products!$A$1:$A$49,0), MATCH(orders!K$1,  products!$A$1:$G$1,0))</f>
        <v>2.5</v>
      </c>
      <c r="L144" s="7">
        <f>INDEX(products!$A$1:$G$49,MATCH(orders!$D144,products!$A$1:$A$49,0), MATCH(orders!L$1,  products!$A$1:$G$1,0))</f>
        <v>34.154999999999994</v>
      </c>
      <c r="M144" s="7">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 MATCH(orders!I$1,  products!$A$1:$G$1,0))</f>
        <v>Lib</v>
      </c>
      <c r="J145" t="str">
        <f>INDEX(products!$A$1:$G$49,MATCH(orders!$D145,products!$A$1:$A$49,0), MATCH(orders!J$1,  products!$A$1:$G$1,0))</f>
        <v>M</v>
      </c>
      <c r="K145" s="4">
        <f>INDEX(products!$A$1:$G$49,MATCH(orders!$D145,products!$A$1:$A$49,0), MATCH(orders!K$1,  products!$A$1:$G$1,0))</f>
        <v>0.5</v>
      </c>
      <c r="L145" s="7">
        <f>INDEX(products!$A$1:$G$49,MATCH(orders!$D145,products!$A$1:$A$49,0), MATCH(orders!L$1,  products!$A$1:$G$1,0))</f>
        <v>8.73</v>
      </c>
      <c r="M145" s="7">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 MATCH(orders!I$1,  products!$A$1:$G$1,0))</f>
        <v>Exc</v>
      </c>
      <c r="J146" t="str">
        <f>INDEX(products!$A$1:$G$49,MATCH(orders!$D146,products!$A$1:$A$49,0), MATCH(orders!J$1,  products!$A$1:$G$1,0))</f>
        <v>L</v>
      </c>
      <c r="K146" s="4">
        <f>INDEX(products!$A$1:$G$49,MATCH(orders!$D146,products!$A$1:$A$49,0), MATCH(orders!K$1,  products!$A$1:$G$1,0))</f>
        <v>2.5</v>
      </c>
      <c r="L146" s="7">
        <f>INDEX(products!$A$1:$G$49,MATCH(orders!$D146,products!$A$1:$A$49,0), MATCH(orders!L$1,  products!$A$1:$G$1,0))</f>
        <v>34.154999999999994</v>
      </c>
      <c r="M146" s="7">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 MATCH(orders!I$1,  products!$A$1:$G$1,0))</f>
        <v>Lib</v>
      </c>
      <c r="J147" t="str">
        <f>INDEX(products!$A$1:$G$49,MATCH(orders!$D147,products!$A$1:$A$49,0), MATCH(orders!J$1,  products!$A$1:$G$1,0))</f>
        <v>M</v>
      </c>
      <c r="K147" s="4">
        <f>INDEX(products!$A$1:$G$49,MATCH(orders!$D147,products!$A$1:$A$49,0), MATCH(orders!K$1,  products!$A$1:$G$1,0))</f>
        <v>0.2</v>
      </c>
      <c r="L147" s="7">
        <f>INDEX(products!$A$1:$G$49,MATCH(orders!$D147,products!$A$1:$A$49,0), MATCH(orders!L$1,  products!$A$1:$G$1,0))</f>
        <v>4.3650000000000002</v>
      </c>
      <c r="M147" s="7">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 MATCH(orders!I$1,  products!$A$1:$G$1,0))</f>
        <v>Lib</v>
      </c>
      <c r="J148" t="str">
        <f>INDEX(products!$A$1:$G$49,MATCH(orders!$D148,products!$A$1:$A$49,0), MATCH(orders!J$1,  products!$A$1:$G$1,0))</f>
        <v>M</v>
      </c>
      <c r="K148" s="4">
        <f>INDEX(products!$A$1:$G$49,MATCH(orders!$D148,products!$A$1:$A$49,0), MATCH(orders!K$1,  products!$A$1:$G$1,0))</f>
        <v>1</v>
      </c>
      <c r="L148" s="7">
        <f>INDEX(products!$A$1:$G$49,MATCH(orders!$D148,products!$A$1:$A$49,0), MATCH(orders!L$1,  products!$A$1:$G$1,0))</f>
        <v>14.55</v>
      </c>
      <c r="M148" s="7">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 MATCH(orders!I$1,  products!$A$1:$G$1,0))</f>
        <v>Exc</v>
      </c>
      <c r="J149" t="str">
        <f>INDEX(products!$A$1:$G$49,MATCH(orders!$D149,products!$A$1:$A$49,0), MATCH(orders!J$1,  products!$A$1:$G$1,0))</f>
        <v>M</v>
      </c>
      <c r="K149" s="4">
        <f>INDEX(products!$A$1:$G$49,MATCH(orders!$D149,products!$A$1:$A$49,0), MATCH(orders!K$1,  products!$A$1:$G$1,0))</f>
        <v>1</v>
      </c>
      <c r="L149" s="7">
        <f>INDEX(products!$A$1:$G$49,MATCH(orders!$D149,products!$A$1:$A$49,0), MATCH(orders!L$1,  products!$A$1:$G$1,0))</f>
        <v>13.75</v>
      </c>
      <c r="M149" s="7">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 MATCH(orders!I$1,  products!$A$1:$G$1,0))</f>
        <v>Exc</v>
      </c>
      <c r="J150" t="str">
        <f>INDEX(products!$A$1:$G$49,MATCH(orders!$D150,products!$A$1:$A$49,0), MATCH(orders!J$1,  products!$A$1:$G$1,0))</f>
        <v>D</v>
      </c>
      <c r="K150" s="4">
        <f>INDEX(products!$A$1:$G$49,MATCH(orders!$D150,products!$A$1:$A$49,0), MATCH(orders!K$1,  products!$A$1:$G$1,0))</f>
        <v>0.2</v>
      </c>
      <c r="L150" s="7">
        <f>INDEX(products!$A$1:$G$49,MATCH(orders!$D150,products!$A$1:$A$49,0), MATCH(orders!L$1,  products!$A$1:$G$1,0))</f>
        <v>3.645</v>
      </c>
      <c r="M150" s="7">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 MATCH(orders!I$1,  products!$A$1:$G$1,0))</f>
        <v>Ara</v>
      </c>
      <c r="J151" t="str">
        <f>INDEX(products!$A$1:$G$49,MATCH(orders!$D151,products!$A$1:$A$49,0), MATCH(orders!J$1,  products!$A$1:$G$1,0))</f>
        <v>M</v>
      </c>
      <c r="K151" s="4">
        <f>INDEX(products!$A$1:$G$49,MATCH(orders!$D151,products!$A$1:$A$49,0), MATCH(orders!K$1,  products!$A$1:$G$1,0))</f>
        <v>2.5</v>
      </c>
      <c r="L151" s="7">
        <f>INDEX(products!$A$1:$G$49,MATCH(orders!$D151,products!$A$1:$A$49,0), MATCH(orders!L$1,  products!$A$1:$G$1,0))</f>
        <v>25.874999999999996</v>
      </c>
      <c r="M151" s="7">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 MATCH(orders!I$1,  products!$A$1:$G$1,0))</f>
        <v>Lib</v>
      </c>
      <c r="J152" t="str">
        <f>INDEX(products!$A$1:$G$49,MATCH(orders!$D152,products!$A$1:$A$49,0), MATCH(orders!J$1,  products!$A$1:$G$1,0))</f>
        <v>D</v>
      </c>
      <c r="K152" s="4">
        <f>INDEX(products!$A$1:$G$49,MATCH(orders!$D152,products!$A$1:$A$49,0), MATCH(orders!K$1,  products!$A$1:$G$1,0))</f>
        <v>1</v>
      </c>
      <c r="L152" s="7">
        <f>INDEX(products!$A$1:$G$49,MATCH(orders!$D152,products!$A$1:$A$49,0), MATCH(orders!L$1,  products!$A$1:$G$1,0))</f>
        <v>12.95</v>
      </c>
      <c r="M152" s="7">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 MATCH(orders!I$1,  products!$A$1:$G$1,0))</f>
        <v>Ara</v>
      </c>
      <c r="J153" t="str">
        <f>INDEX(products!$A$1:$G$49,MATCH(orders!$D153,products!$A$1:$A$49,0), MATCH(orders!J$1,  products!$A$1:$G$1,0))</f>
        <v>M</v>
      </c>
      <c r="K153" s="4">
        <f>INDEX(products!$A$1:$G$49,MATCH(orders!$D153,products!$A$1:$A$49,0), MATCH(orders!K$1,  products!$A$1:$G$1,0))</f>
        <v>1</v>
      </c>
      <c r="L153" s="7">
        <f>INDEX(products!$A$1:$G$49,MATCH(orders!$D153,products!$A$1:$A$49,0), MATCH(orders!L$1,  products!$A$1:$G$1,0))</f>
        <v>11.25</v>
      </c>
      <c r="M153" s="7">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 MATCH(orders!I$1,  products!$A$1:$G$1,0))</f>
        <v>Rob</v>
      </c>
      <c r="J154" t="str">
        <f>INDEX(products!$A$1:$G$49,MATCH(orders!$D154,products!$A$1:$A$49,0), MATCH(orders!J$1,  products!$A$1:$G$1,0))</f>
        <v>M</v>
      </c>
      <c r="K154" s="4">
        <f>INDEX(products!$A$1:$G$49,MATCH(orders!$D154,products!$A$1:$A$49,0), MATCH(orders!K$1,  products!$A$1:$G$1,0))</f>
        <v>2.5</v>
      </c>
      <c r="L154" s="7">
        <f>INDEX(products!$A$1:$G$49,MATCH(orders!$D154,products!$A$1:$A$49,0), MATCH(orders!L$1,  products!$A$1:$G$1,0))</f>
        <v>22.884999999999998</v>
      </c>
      <c r="M154" s="7">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 MATCH(orders!I$1,  products!$A$1:$G$1,0))</f>
        <v>Rob</v>
      </c>
      <c r="J155" t="str">
        <f>INDEX(products!$A$1:$G$49,MATCH(orders!$D155,products!$A$1:$A$49,0), MATCH(orders!J$1,  products!$A$1:$G$1,0))</f>
        <v>D</v>
      </c>
      <c r="K155" s="4">
        <f>INDEX(products!$A$1:$G$49,MATCH(orders!$D155,products!$A$1:$A$49,0), MATCH(orders!K$1,  products!$A$1:$G$1,0))</f>
        <v>0.2</v>
      </c>
      <c r="L155" s="7">
        <f>INDEX(products!$A$1:$G$49,MATCH(orders!$D155,products!$A$1:$A$49,0), MATCH(orders!L$1,  products!$A$1:$G$1,0))</f>
        <v>2.6849999999999996</v>
      </c>
      <c r="M155" s="7">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 MATCH(orders!I$1,  products!$A$1:$G$1,0))</f>
        <v>Ara</v>
      </c>
      <c r="J156" t="str">
        <f>INDEX(products!$A$1:$G$49,MATCH(orders!$D156,products!$A$1:$A$49,0), MATCH(orders!J$1,  products!$A$1:$G$1,0))</f>
        <v>D</v>
      </c>
      <c r="K156" s="4">
        <f>INDEX(products!$A$1:$G$49,MATCH(orders!$D156,products!$A$1:$A$49,0), MATCH(orders!K$1,  products!$A$1:$G$1,0))</f>
        <v>2.5</v>
      </c>
      <c r="L156" s="7">
        <f>INDEX(products!$A$1:$G$49,MATCH(orders!$D156,products!$A$1:$A$49,0), MATCH(orders!L$1,  products!$A$1:$G$1,0))</f>
        <v>22.884999999999998</v>
      </c>
      <c r="M156" s="7">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 MATCH(orders!I$1,  products!$A$1:$G$1,0))</f>
        <v>Ara</v>
      </c>
      <c r="J157" t="str">
        <f>INDEX(products!$A$1:$G$49,MATCH(orders!$D157,products!$A$1:$A$49,0), MATCH(orders!J$1,  products!$A$1:$G$1,0))</f>
        <v>M</v>
      </c>
      <c r="K157" s="4">
        <f>INDEX(products!$A$1:$G$49,MATCH(orders!$D157,products!$A$1:$A$49,0), MATCH(orders!K$1,  products!$A$1:$G$1,0))</f>
        <v>2.5</v>
      </c>
      <c r="L157" s="7">
        <f>INDEX(products!$A$1:$G$49,MATCH(orders!$D157,products!$A$1:$A$49,0), MATCH(orders!L$1,  products!$A$1:$G$1,0))</f>
        <v>25.874999999999996</v>
      </c>
      <c r="M157" s="7">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 MATCH(orders!I$1,  products!$A$1:$G$1,0))</f>
        <v>Ara</v>
      </c>
      <c r="J158" t="str">
        <f>INDEX(products!$A$1:$G$49,MATCH(orders!$D158,products!$A$1:$A$49,0), MATCH(orders!J$1,  products!$A$1:$G$1,0))</f>
        <v>M</v>
      </c>
      <c r="K158" s="4">
        <f>INDEX(products!$A$1:$G$49,MATCH(orders!$D158,products!$A$1:$A$49,0), MATCH(orders!K$1,  products!$A$1:$G$1,0))</f>
        <v>2.5</v>
      </c>
      <c r="L158" s="7">
        <f>INDEX(products!$A$1:$G$49,MATCH(orders!$D158,products!$A$1:$A$49,0), MATCH(orders!L$1,  products!$A$1:$G$1,0))</f>
        <v>25.874999999999996</v>
      </c>
      <c r="M158" s="7">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 MATCH(orders!I$1,  products!$A$1:$G$1,0))</f>
        <v>Rob</v>
      </c>
      <c r="J159" t="str">
        <f>INDEX(products!$A$1:$G$49,MATCH(orders!$D159,products!$A$1:$A$49,0), MATCH(orders!J$1,  products!$A$1:$G$1,0))</f>
        <v>D</v>
      </c>
      <c r="K159" s="4">
        <f>INDEX(products!$A$1:$G$49,MATCH(orders!$D159,products!$A$1:$A$49,0), MATCH(orders!K$1,  products!$A$1:$G$1,0))</f>
        <v>2.5</v>
      </c>
      <c r="L159" s="7">
        <f>INDEX(products!$A$1:$G$49,MATCH(orders!$D159,products!$A$1:$A$49,0), MATCH(orders!L$1,  products!$A$1:$G$1,0))</f>
        <v>20.584999999999997</v>
      </c>
      <c r="M159" s="7">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 MATCH(orders!I$1,  products!$A$1:$G$1,0))</f>
        <v>Rob</v>
      </c>
      <c r="J160" t="str">
        <f>INDEX(products!$A$1:$G$49,MATCH(orders!$D160,products!$A$1:$A$49,0), MATCH(orders!J$1,  products!$A$1:$G$1,0))</f>
        <v>D</v>
      </c>
      <c r="K160" s="4">
        <f>INDEX(products!$A$1:$G$49,MATCH(orders!$D160,products!$A$1:$A$49,0), MATCH(orders!K$1,  products!$A$1:$G$1,0))</f>
        <v>2.5</v>
      </c>
      <c r="L160" s="7">
        <f>INDEX(products!$A$1:$G$49,MATCH(orders!$D160,products!$A$1:$A$49,0), MATCH(orders!L$1,  products!$A$1:$G$1,0))</f>
        <v>20.584999999999997</v>
      </c>
      <c r="M160" s="7">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 MATCH(orders!I$1,  products!$A$1:$G$1,0))</f>
        <v>Lib</v>
      </c>
      <c r="J161" t="str">
        <f>INDEX(products!$A$1:$G$49,MATCH(orders!$D161,products!$A$1:$A$49,0), MATCH(orders!J$1,  products!$A$1:$G$1,0))</f>
        <v>L</v>
      </c>
      <c r="K161" s="4">
        <f>INDEX(products!$A$1:$G$49,MATCH(orders!$D161,products!$A$1:$A$49,0), MATCH(orders!K$1,  products!$A$1:$G$1,0))</f>
        <v>2.5</v>
      </c>
      <c r="L161" s="7">
        <f>INDEX(products!$A$1:$G$49,MATCH(orders!$D161,products!$A$1:$A$49,0), MATCH(orders!L$1,  products!$A$1:$G$1,0))</f>
        <v>36.454999999999998</v>
      </c>
      <c r="M161" s="7">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 MATCH(orders!I$1,  products!$A$1:$G$1,0))</f>
        <v>Exc</v>
      </c>
      <c r="J162" t="str">
        <f>INDEX(products!$A$1:$G$49,MATCH(orders!$D162,products!$A$1:$A$49,0), MATCH(orders!J$1,  products!$A$1:$G$1,0))</f>
        <v>M</v>
      </c>
      <c r="K162" s="4">
        <f>INDEX(products!$A$1:$G$49,MATCH(orders!$D162,products!$A$1:$A$49,0), MATCH(orders!K$1,  products!$A$1:$G$1,0))</f>
        <v>0.5</v>
      </c>
      <c r="L162" s="7">
        <f>INDEX(products!$A$1:$G$49,MATCH(orders!$D162,products!$A$1:$A$49,0), MATCH(orders!L$1,  products!$A$1:$G$1,0))</f>
        <v>8.25</v>
      </c>
      <c r="M162" s="7">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 MATCH(orders!I$1,  products!$A$1:$G$1,0))</f>
        <v>Ara</v>
      </c>
      <c r="J163" t="str">
        <f>INDEX(products!$A$1:$G$49,MATCH(orders!$D163,products!$A$1:$A$49,0), MATCH(orders!J$1,  products!$A$1:$G$1,0))</f>
        <v>L</v>
      </c>
      <c r="K163" s="4">
        <f>INDEX(products!$A$1:$G$49,MATCH(orders!$D163,products!$A$1:$A$49,0), MATCH(orders!K$1,  products!$A$1:$G$1,0))</f>
        <v>0.5</v>
      </c>
      <c r="L163" s="7">
        <f>INDEX(products!$A$1:$G$49,MATCH(orders!$D163,products!$A$1:$A$49,0), MATCH(orders!L$1,  products!$A$1:$G$1,0))</f>
        <v>7.77</v>
      </c>
      <c r="M163" s="7">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 MATCH(orders!I$1,  products!$A$1:$G$1,0))</f>
        <v>Exc</v>
      </c>
      <c r="J164" t="str">
        <f>INDEX(products!$A$1:$G$49,MATCH(orders!$D164,products!$A$1:$A$49,0), MATCH(orders!J$1,  products!$A$1:$G$1,0))</f>
        <v>D</v>
      </c>
      <c r="K164" s="4">
        <f>INDEX(products!$A$1:$G$49,MATCH(orders!$D164,products!$A$1:$A$49,0), MATCH(orders!K$1,  products!$A$1:$G$1,0))</f>
        <v>0.5</v>
      </c>
      <c r="L164" s="7">
        <f>INDEX(products!$A$1:$G$49,MATCH(orders!$D164,products!$A$1:$A$49,0), MATCH(orders!L$1,  products!$A$1:$G$1,0))</f>
        <v>7.29</v>
      </c>
      <c r="M164" s="7">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 MATCH(orders!I$1,  products!$A$1:$G$1,0))</f>
        <v>Rob</v>
      </c>
      <c r="J165" t="str">
        <f>INDEX(products!$A$1:$G$49,MATCH(orders!$D165,products!$A$1:$A$49,0), MATCH(orders!J$1,  products!$A$1:$G$1,0))</f>
        <v>D</v>
      </c>
      <c r="K165" s="4">
        <f>INDEX(products!$A$1:$G$49,MATCH(orders!$D165,products!$A$1:$A$49,0), MATCH(orders!K$1,  products!$A$1:$G$1,0))</f>
        <v>0.2</v>
      </c>
      <c r="L165" s="7">
        <f>INDEX(products!$A$1:$G$49,MATCH(orders!$D165,products!$A$1:$A$49,0), MATCH(orders!L$1,  products!$A$1:$G$1,0))</f>
        <v>2.6849999999999996</v>
      </c>
      <c r="M165" s="7">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 MATCH(orders!I$1,  products!$A$1:$G$1,0))</f>
        <v>Exc</v>
      </c>
      <c r="J166" t="str">
        <f>INDEX(products!$A$1:$G$49,MATCH(orders!$D166,products!$A$1:$A$49,0), MATCH(orders!J$1,  products!$A$1:$G$1,0))</f>
        <v>D</v>
      </c>
      <c r="K166" s="4">
        <f>INDEX(products!$A$1:$G$49,MATCH(orders!$D166,products!$A$1:$A$49,0), MATCH(orders!K$1,  products!$A$1:$G$1,0))</f>
        <v>0.5</v>
      </c>
      <c r="L166" s="7">
        <f>INDEX(products!$A$1:$G$49,MATCH(orders!$D166,products!$A$1:$A$49,0), MATCH(orders!L$1,  products!$A$1:$G$1,0))</f>
        <v>7.29</v>
      </c>
      <c r="M166" s="7">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 MATCH(orders!I$1,  products!$A$1:$G$1,0))</f>
        <v>Rob</v>
      </c>
      <c r="J167" t="str">
        <f>INDEX(products!$A$1:$G$49,MATCH(orders!$D167,products!$A$1:$A$49,0), MATCH(orders!J$1,  products!$A$1:$G$1,0))</f>
        <v>D</v>
      </c>
      <c r="K167" s="4">
        <f>INDEX(products!$A$1:$G$49,MATCH(orders!$D167,products!$A$1:$A$49,0), MATCH(orders!K$1,  products!$A$1:$G$1,0))</f>
        <v>1</v>
      </c>
      <c r="L167" s="7">
        <f>INDEX(products!$A$1:$G$49,MATCH(orders!$D167,products!$A$1:$A$49,0), MATCH(orders!L$1,  products!$A$1:$G$1,0))</f>
        <v>8.9499999999999993</v>
      </c>
      <c r="M167" s="7">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 MATCH(orders!I$1,  products!$A$1:$G$1,0))</f>
        <v>Rob</v>
      </c>
      <c r="J168" t="str">
        <f>INDEX(products!$A$1:$G$49,MATCH(orders!$D168,products!$A$1:$A$49,0), MATCH(orders!J$1,  products!$A$1:$G$1,0))</f>
        <v>D</v>
      </c>
      <c r="K168" s="4">
        <f>INDEX(products!$A$1:$G$49,MATCH(orders!$D168,products!$A$1:$A$49,0), MATCH(orders!K$1,  products!$A$1:$G$1,0))</f>
        <v>0.5</v>
      </c>
      <c r="L168" s="7">
        <f>INDEX(products!$A$1:$G$49,MATCH(orders!$D168,products!$A$1:$A$49,0), MATCH(orders!L$1,  products!$A$1:$G$1,0))</f>
        <v>5.3699999999999992</v>
      </c>
      <c r="M168" s="7">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 MATCH(orders!I$1,  products!$A$1:$G$1,0))</f>
        <v>Exc</v>
      </c>
      <c r="J169" t="str">
        <f>INDEX(products!$A$1:$G$49,MATCH(orders!$D169,products!$A$1:$A$49,0), MATCH(orders!J$1,  products!$A$1:$G$1,0))</f>
        <v>M</v>
      </c>
      <c r="K169" s="4">
        <f>INDEX(products!$A$1:$G$49,MATCH(orders!$D169,products!$A$1:$A$49,0), MATCH(orders!K$1,  products!$A$1:$G$1,0))</f>
        <v>0.5</v>
      </c>
      <c r="L169" s="7">
        <f>INDEX(products!$A$1:$G$49,MATCH(orders!$D169,products!$A$1:$A$49,0), MATCH(orders!L$1,  products!$A$1:$G$1,0))</f>
        <v>8.25</v>
      </c>
      <c r="M169" s="7">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 MATCH(orders!I$1,  products!$A$1:$G$1,0))</f>
        <v>Ara</v>
      </c>
      <c r="J170" t="str">
        <f>INDEX(products!$A$1:$G$49,MATCH(orders!$D170,products!$A$1:$A$49,0), MATCH(orders!J$1,  products!$A$1:$G$1,0))</f>
        <v>M</v>
      </c>
      <c r="K170" s="4">
        <f>INDEX(products!$A$1:$G$49,MATCH(orders!$D170,products!$A$1:$A$49,0), MATCH(orders!K$1,  products!$A$1:$G$1,0))</f>
        <v>0.5</v>
      </c>
      <c r="L170" s="7">
        <f>INDEX(products!$A$1:$G$49,MATCH(orders!$D170,products!$A$1:$A$49,0), MATCH(orders!L$1,  products!$A$1:$G$1,0))</f>
        <v>6.75</v>
      </c>
      <c r="M170" s="7">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 MATCH(orders!I$1,  products!$A$1:$G$1,0))</f>
        <v>Rob</v>
      </c>
      <c r="J171" t="str">
        <f>INDEX(products!$A$1:$G$49,MATCH(orders!$D171,products!$A$1:$A$49,0), MATCH(orders!J$1,  products!$A$1:$G$1,0))</f>
        <v>D</v>
      </c>
      <c r="K171" s="4">
        <f>INDEX(products!$A$1:$G$49,MATCH(orders!$D171,products!$A$1:$A$49,0), MATCH(orders!K$1,  products!$A$1:$G$1,0))</f>
        <v>1</v>
      </c>
      <c r="L171" s="7">
        <f>INDEX(products!$A$1:$G$49,MATCH(orders!$D171,products!$A$1:$A$49,0), MATCH(orders!L$1,  products!$A$1:$G$1,0))</f>
        <v>8.9499999999999993</v>
      </c>
      <c r="M171" s="7">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 MATCH(orders!I$1,  products!$A$1:$G$1,0))</f>
        <v>Exc</v>
      </c>
      <c r="J172" t="str">
        <f>INDEX(products!$A$1:$G$49,MATCH(orders!$D172,products!$A$1:$A$49,0), MATCH(orders!J$1,  products!$A$1:$G$1,0))</f>
        <v>L</v>
      </c>
      <c r="K172" s="4">
        <f>INDEX(products!$A$1:$G$49,MATCH(orders!$D172,products!$A$1:$A$49,0), MATCH(orders!K$1,  products!$A$1:$G$1,0))</f>
        <v>2.5</v>
      </c>
      <c r="L172" s="7">
        <f>INDEX(products!$A$1:$G$49,MATCH(orders!$D172,products!$A$1:$A$49,0), MATCH(orders!L$1,  products!$A$1:$G$1,0))</f>
        <v>34.154999999999994</v>
      </c>
      <c r="M172" s="7">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 MATCH(orders!I$1,  products!$A$1:$G$1,0))</f>
        <v>Exc</v>
      </c>
      <c r="J173" t="str">
        <f>INDEX(products!$A$1:$G$49,MATCH(orders!$D173,products!$A$1:$A$49,0), MATCH(orders!J$1,  products!$A$1:$G$1,0))</f>
        <v>M</v>
      </c>
      <c r="K173" s="4">
        <f>INDEX(products!$A$1:$G$49,MATCH(orders!$D173,products!$A$1:$A$49,0), MATCH(orders!K$1,  products!$A$1:$G$1,0))</f>
        <v>2.5</v>
      </c>
      <c r="L173" s="7">
        <f>INDEX(products!$A$1:$G$49,MATCH(orders!$D173,products!$A$1:$A$49,0), MATCH(orders!L$1,  products!$A$1:$G$1,0))</f>
        <v>31.624999999999996</v>
      </c>
      <c r="M173" s="7">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 MATCH(orders!I$1,  products!$A$1:$G$1,0))</f>
        <v>Exc</v>
      </c>
      <c r="J174" t="str">
        <f>INDEX(products!$A$1:$G$49,MATCH(orders!$D174,products!$A$1:$A$49,0), MATCH(orders!J$1,  products!$A$1:$G$1,0))</f>
        <v>D</v>
      </c>
      <c r="K174" s="4">
        <f>INDEX(products!$A$1:$G$49,MATCH(orders!$D174,products!$A$1:$A$49,0), MATCH(orders!K$1,  products!$A$1:$G$1,0))</f>
        <v>0.5</v>
      </c>
      <c r="L174" s="7">
        <f>INDEX(products!$A$1:$G$49,MATCH(orders!$D174,products!$A$1:$A$49,0), MATCH(orders!L$1,  products!$A$1:$G$1,0))</f>
        <v>7.29</v>
      </c>
      <c r="M174" s="7">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 MATCH(orders!I$1,  products!$A$1:$G$1,0))</f>
        <v>Rob</v>
      </c>
      <c r="J175" t="str">
        <f>INDEX(products!$A$1:$G$49,MATCH(orders!$D175,products!$A$1:$A$49,0), MATCH(orders!J$1,  products!$A$1:$G$1,0))</f>
        <v>M</v>
      </c>
      <c r="K175" s="4">
        <f>INDEX(products!$A$1:$G$49,MATCH(orders!$D175,products!$A$1:$A$49,0), MATCH(orders!K$1,  products!$A$1:$G$1,0))</f>
        <v>2.5</v>
      </c>
      <c r="L175" s="7">
        <f>INDEX(products!$A$1:$G$49,MATCH(orders!$D175,products!$A$1:$A$49,0), MATCH(orders!L$1,  products!$A$1:$G$1,0))</f>
        <v>22.884999999999998</v>
      </c>
      <c r="M175" s="7">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 MATCH(orders!I$1,  products!$A$1:$G$1,0))</f>
        <v>Exc</v>
      </c>
      <c r="J176" t="str">
        <f>INDEX(products!$A$1:$G$49,MATCH(orders!$D176,products!$A$1:$A$49,0), MATCH(orders!J$1,  products!$A$1:$G$1,0))</f>
        <v>L</v>
      </c>
      <c r="K176" s="4">
        <f>INDEX(products!$A$1:$G$49,MATCH(orders!$D176,products!$A$1:$A$49,0), MATCH(orders!K$1,  products!$A$1:$G$1,0))</f>
        <v>2.5</v>
      </c>
      <c r="L176" s="7">
        <f>INDEX(products!$A$1:$G$49,MATCH(orders!$D176,products!$A$1:$A$49,0), MATCH(orders!L$1,  products!$A$1:$G$1,0))</f>
        <v>34.154999999999994</v>
      </c>
      <c r="M176" s="7">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 MATCH(orders!I$1,  products!$A$1:$G$1,0))</f>
        <v>Exc</v>
      </c>
      <c r="J177" t="str">
        <f>INDEX(products!$A$1:$G$49,MATCH(orders!$D177,products!$A$1:$A$49,0), MATCH(orders!J$1,  products!$A$1:$G$1,0))</f>
        <v>M</v>
      </c>
      <c r="K177" s="4">
        <f>INDEX(products!$A$1:$G$49,MATCH(orders!$D177,products!$A$1:$A$49,0), MATCH(orders!K$1,  products!$A$1:$G$1,0))</f>
        <v>2.5</v>
      </c>
      <c r="L177" s="7">
        <f>INDEX(products!$A$1:$G$49,MATCH(orders!$D177,products!$A$1:$A$49,0), MATCH(orders!L$1,  products!$A$1:$G$1,0))</f>
        <v>31.624999999999996</v>
      </c>
      <c r="M177" s="7">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 MATCH(orders!I$1,  products!$A$1:$G$1,0))</f>
        <v>Exc</v>
      </c>
      <c r="J178" t="str">
        <f>INDEX(products!$A$1:$G$49,MATCH(orders!$D178,products!$A$1:$A$49,0), MATCH(orders!J$1,  products!$A$1:$G$1,0))</f>
        <v>L</v>
      </c>
      <c r="K178" s="4">
        <f>INDEX(products!$A$1:$G$49,MATCH(orders!$D178,products!$A$1:$A$49,0), MATCH(orders!K$1,  products!$A$1:$G$1,0))</f>
        <v>2.5</v>
      </c>
      <c r="L178" s="7">
        <f>INDEX(products!$A$1:$G$49,MATCH(orders!$D178,products!$A$1:$A$49,0), MATCH(orders!L$1,  products!$A$1:$G$1,0))</f>
        <v>34.154999999999994</v>
      </c>
      <c r="M178" s="7">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 MATCH(orders!I$1,  products!$A$1:$G$1,0))</f>
        <v>Rob</v>
      </c>
      <c r="J179" t="str">
        <f>INDEX(products!$A$1:$G$49,MATCH(orders!$D179,products!$A$1:$A$49,0), MATCH(orders!J$1,  products!$A$1:$G$1,0))</f>
        <v>L</v>
      </c>
      <c r="K179" s="4">
        <f>INDEX(products!$A$1:$G$49,MATCH(orders!$D179,products!$A$1:$A$49,0), MATCH(orders!K$1,  products!$A$1:$G$1,0))</f>
        <v>2.5</v>
      </c>
      <c r="L179" s="7">
        <f>INDEX(products!$A$1:$G$49,MATCH(orders!$D179,products!$A$1:$A$49,0), MATCH(orders!L$1,  products!$A$1:$G$1,0))</f>
        <v>27.484999999999996</v>
      </c>
      <c r="M179" s="7">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 MATCH(orders!I$1,  products!$A$1:$G$1,0))</f>
        <v>Ara</v>
      </c>
      <c r="J180" t="str">
        <f>INDEX(products!$A$1:$G$49,MATCH(orders!$D180,products!$A$1:$A$49,0), MATCH(orders!J$1,  products!$A$1:$G$1,0))</f>
        <v>L</v>
      </c>
      <c r="K180" s="4">
        <f>INDEX(products!$A$1:$G$49,MATCH(orders!$D180,products!$A$1:$A$49,0), MATCH(orders!K$1,  products!$A$1:$G$1,0))</f>
        <v>1</v>
      </c>
      <c r="L180" s="7">
        <f>INDEX(products!$A$1:$G$49,MATCH(orders!$D180,products!$A$1:$A$49,0), MATCH(orders!L$1,  products!$A$1:$G$1,0))</f>
        <v>12.95</v>
      </c>
      <c r="M180" s="7">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 MATCH(orders!I$1,  products!$A$1:$G$1,0))</f>
        <v>Ara</v>
      </c>
      <c r="J181" t="str">
        <f>INDEX(products!$A$1:$G$49,MATCH(orders!$D181,products!$A$1:$A$49,0), MATCH(orders!J$1,  products!$A$1:$G$1,0))</f>
        <v>D</v>
      </c>
      <c r="K181" s="4">
        <f>INDEX(products!$A$1:$G$49,MATCH(orders!$D181,products!$A$1:$A$49,0), MATCH(orders!K$1,  products!$A$1:$G$1,0))</f>
        <v>0.2</v>
      </c>
      <c r="L181" s="7">
        <f>INDEX(products!$A$1:$G$49,MATCH(orders!$D181,products!$A$1:$A$49,0), MATCH(orders!L$1,  products!$A$1:$G$1,0))</f>
        <v>2.9849999999999999</v>
      </c>
      <c r="M181" s="7">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 MATCH(orders!I$1,  products!$A$1:$G$1,0))</f>
        <v>Exc</v>
      </c>
      <c r="J182" t="str">
        <f>INDEX(products!$A$1:$G$49,MATCH(orders!$D182,products!$A$1:$A$49,0), MATCH(orders!J$1,  products!$A$1:$G$1,0))</f>
        <v>L</v>
      </c>
      <c r="K182" s="4">
        <f>INDEX(products!$A$1:$G$49,MATCH(orders!$D182,products!$A$1:$A$49,0), MATCH(orders!K$1,  products!$A$1:$G$1,0))</f>
        <v>0.2</v>
      </c>
      <c r="L182" s="7">
        <f>INDEX(products!$A$1:$G$49,MATCH(orders!$D182,products!$A$1:$A$49,0), MATCH(orders!L$1,  products!$A$1:$G$1,0))</f>
        <v>4.4550000000000001</v>
      </c>
      <c r="M182" s="7">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 MATCH(orders!I$1,  products!$A$1:$G$1,0))</f>
        <v>Ara</v>
      </c>
      <c r="J183" t="str">
        <f>INDEX(products!$A$1:$G$49,MATCH(orders!$D183,products!$A$1:$A$49,0), MATCH(orders!J$1,  products!$A$1:$G$1,0))</f>
        <v>D</v>
      </c>
      <c r="K183" s="4">
        <f>INDEX(products!$A$1:$G$49,MATCH(orders!$D183,products!$A$1:$A$49,0), MATCH(orders!K$1,  products!$A$1:$G$1,0))</f>
        <v>0.5</v>
      </c>
      <c r="L183" s="7">
        <f>INDEX(products!$A$1:$G$49,MATCH(orders!$D183,products!$A$1:$A$49,0), MATCH(orders!L$1,  products!$A$1:$G$1,0))</f>
        <v>5.97</v>
      </c>
      <c r="M183" s="7">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 MATCH(orders!I$1,  products!$A$1:$G$1,0))</f>
        <v>Rob</v>
      </c>
      <c r="J184" t="str">
        <f>INDEX(products!$A$1:$G$49,MATCH(orders!$D184,products!$A$1:$A$49,0), MATCH(orders!J$1,  products!$A$1:$G$1,0))</f>
        <v>D</v>
      </c>
      <c r="K184" s="4">
        <f>INDEX(products!$A$1:$G$49,MATCH(orders!$D184,products!$A$1:$A$49,0), MATCH(orders!K$1,  products!$A$1:$G$1,0))</f>
        <v>0.5</v>
      </c>
      <c r="L184" s="7">
        <f>INDEX(products!$A$1:$G$49,MATCH(orders!$D184,products!$A$1:$A$49,0), MATCH(orders!L$1,  products!$A$1:$G$1,0))</f>
        <v>5.3699999999999992</v>
      </c>
      <c r="M184" s="7">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 MATCH(orders!I$1,  products!$A$1:$G$1,0))</f>
        <v>Exc</v>
      </c>
      <c r="J185" t="str">
        <f>INDEX(products!$A$1:$G$49,MATCH(orders!$D185,products!$A$1:$A$49,0), MATCH(orders!J$1,  products!$A$1:$G$1,0))</f>
        <v>M</v>
      </c>
      <c r="K185" s="4">
        <f>INDEX(products!$A$1:$G$49,MATCH(orders!$D185,products!$A$1:$A$49,0), MATCH(orders!K$1,  products!$A$1:$G$1,0))</f>
        <v>0.2</v>
      </c>
      <c r="L185" s="7">
        <f>INDEX(products!$A$1:$G$49,MATCH(orders!$D185,products!$A$1:$A$49,0), MATCH(orders!L$1,  products!$A$1:$G$1,0))</f>
        <v>4.125</v>
      </c>
      <c r="M185" s="7">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 MATCH(orders!I$1,  products!$A$1:$G$1,0))</f>
        <v>Ara</v>
      </c>
      <c r="J186" t="str">
        <f>INDEX(products!$A$1:$G$49,MATCH(orders!$D186,products!$A$1:$A$49,0), MATCH(orders!J$1,  products!$A$1:$G$1,0))</f>
        <v>L</v>
      </c>
      <c r="K186" s="4">
        <f>INDEX(products!$A$1:$G$49,MATCH(orders!$D186,products!$A$1:$A$49,0), MATCH(orders!K$1,  products!$A$1:$G$1,0))</f>
        <v>0.5</v>
      </c>
      <c r="L186" s="7">
        <f>INDEX(products!$A$1:$G$49,MATCH(orders!$D186,products!$A$1:$A$49,0), MATCH(orders!L$1,  products!$A$1:$G$1,0))</f>
        <v>7.77</v>
      </c>
      <c r="M186" s="7">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 MATCH(orders!I$1,  products!$A$1:$G$1,0))</f>
        <v>Exc</v>
      </c>
      <c r="J187" t="str">
        <f>INDEX(products!$A$1:$G$49,MATCH(orders!$D187,products!$A$1:$A$49,0), MATCH(orders!J$1,  products!$A$1:$G$1,0))</f>
        <v>D</v>
      </c>
      <c r="K187" s="4">
        <f>INDEX(products!$A$1:$G$49,MATCH(orders!$D187,products!$A$1:$A$49,0), MATCH(orders!K$1,  products!$A$1:$G$1,0))</f>
        <v>0.5</v>
      </c>
      <c r="L187" s="7">
        <f>INDEX(products!$A$1:$G$49,MATCH(orders!$D187,products!$A$1:$A$49,0), MATCH(orders!L$1,  products!$A$1:$G$1,0))</f>
        <v>7.29</v>
      </c>
      <c r="M187" s="7">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 MATCH(orders!I$1,  products!$A$1:$G$1,0))</f>
        <v>Rob</v>
      </c>
      <c r="J188" t="str">
        <f>INDEX(products!$A$1:$G$49,MATCH(orders!$D188,products!$A$1:$A$49,0), MATCH(orders!J$1,  products!$A$1:$G$1,0))</f>
        <v>M</v>
      </c>
      <c r="K188" s="4">
        <f>INDEX(products!$A$1:$G$49,MATCH(orders!$D188,products!$A$1:$A$49,0), MATCH(orders!K$1,  products!$A$1:$G$1,0))</f>
        <v>2.5</v>
      </c>
      <c r="L188" s="7">
        <f>INDEX(products!$A$1:$G$49,MATCH(orders!$D188,products!$A$1:$A$49,0), MATCH(orders!L$1,  products!$A$1:$G$1,0))</f>
        <v>22.884999999999998</v>
      </c>
      <c r="M188" s="7">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 MATCH(orders!I$1,  products!$A$1:$G$1,0))</f>
        <v>Lib</v>
      </c>
      <c r="J189" t="str">
        <f>INDEX(products!$A$1:$G$49,MATCH(orders!$D189,products!$A$1:$A$49,0), MATCH(orders!J$1,  products!$A$1:$G$1,0))</f>
        <v>M</v>
      </c>
      <c r="K189" s="4">
        <f>INDEX(products!$A$1:$G$49,MATCH(orders!$D189,products!$A$1:$A$49,0), MATCH(orders!K$1,  products!$A$1:$G$1,0))</f>
        <v>0.5</v>
      </c>
      <c r="L189" s="7">
        <f>INDEX(products!$A$1:$G$49,MATCH(orders!$D189,products!$A$1:$A$49,0), MATCH(orders!L$1,  products!$A$1:$G$1,0))</f>
        <v>8.73</v>
      </c>
      <c r="M189" s="7">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 MATCH(orders!I$1,  products!$A$1:$G$1,0))</f>
        <v>Exc</v>
      </c>
      <c r="J190" t="str">
        <f>INDEX(products!$A$1:$G$49,MATCH(orders!$D190,products!$A$1:$A$49,0), MATCH(orders!J$1,  products!$A$1:$G$1,0))</f>
        <v>L</v>
      </c>
      <c r="K190" s="4">
        <f>INDEX(products!$A$1:$G$49,MATCH(orders!$D190,products!$A$1:$A$49,0), MATCH(orders!K$1,  products!$A$1:$G$1,0))</f>
        <v>0.2</v>
      </c>
      <c r="L190" s="7">
        <f>INDEX(products!$A$1:$G$49,MATCH(orders!$D190,products!$A$1:$A$49,0), MATCH(orders!L$1,  products!$A$1:$G$1,0))</f>
        <v>4.4550000000000001</v>
      </c>
      <c r="M190" s="7">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 MATCH(orders!I$1,  products!$A$1:$G$1,0))</f>
        <v>Lib</v>
      </c>
      <c r="J191" t="str">
        <f>INDEX(products!$A$1:$G$49,MATCH(orders!$D191,products!$A$1:$A$49,0), MATCH(orders!J$1,  products!$A$1:$G$1,0))</f>
        <v>M</v>
      </c>
      <c r="K191" s="4">
        <f>INDEX(products!$A$1:$G$49,MATCH(orders!$D191,products!$A$1:$A$49,0), MATCH(orders!K$1,  products!$A$1:$G$1,0))</f>
        <v>1</v>
      </c>
      <c r="L191" s="7">
        <f>INDEX(products!$A$1:$G$49,MATCH(orders!$D191,products!$A$1:$A$49,0), MATCH(orders!L$1,  products!$A$1:$G$1,0))</f>
        <v>14.55</v>
      </c>
      <c r="M191" s="7">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 MATCH(orders!I$1,  products!$A$1:$G$1,0))</f>
        <v>Lib</v>
      </c>
      <c r="J192" t="str">
        <f>INDEX(products!$A$1:$G$49,MATCH(orders!$D192,products!$A$1:$A$49,0), MATCH(orders!J$1,  products!$A$1:$G$1,0))</f>
        <v>M</v>
      </c>
      <c r="K192" s="4">
        <f>INDEX(products!$A$1:$G$49,MATCH(orders!$D192,products!$A$1:$A$49,0), MATCH(orders!K$1,  products!$A$1:$G$1,0))</f>
        <v>2.5</v>
      </c>
      <c r="L192" s="7">
        <f>INDEX(products!$A$1:$G$49,MATCH(orders!$D192,products!$A$1:$A$49,0), MATCH(orders!L$1,  products!$A$1:$G$1,0))</f>
        <v>33.464999999999996</v>
      </c>
      <c r="M192" s="7">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 MATCH(orders!I$1,  products!$A$1:$G$1,0))</f>
        <v>Lib</v>
      </c>
      <c r="J193" t="str">
        <f>INDEX(products!$A$1:$G$49,MATCH(orders!$D193,products!$A$1:$A$49,0), MATCH(orders!J$1,  products!$A$1:$G$1,0))</f>
        <v>D</v>
      </c>
      <c r="K193" s="4">
        <f>INDEX(products!$A$1:$G$49,MATCH(orders!$D193,products!$A$1:$A$49,0), MATCH(orders!K$1,  products!$A$1:$G$1,0))</f>
        <v>0.2</v>
      </c>
      <c r="L193" s="7">
        <f>INDEX(products!$A$1:$G$49,MATCH(orders!$D193,products!$A$1:$A$49,0), MATCH(orders!L$1,  products!$A$1:$G$1,0))</f>
        <v>3.8849999999999998</v>
      </c>
      <c r="M193" s="7">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 MATCH(orders!I$1,  products!$A$1:$G$1,0))</f>
        <v>Exc</v>
      </c>
      <c r="J194" t="str">
        <f>INDEX(products!$A$1:$G$49,MATCH(orders!$D194,products!$A$1:$A$49,0), MATCH(orders!J$1,  products!$A$1:$G$1,0))</f>
        <v>D</v>
      </c>
      <c r="K194" s="4">
        <f>INDEX(products!$A$1:$G$49,MATCH(orders!$D194,products!$A$1:$A$49,0), MATCH(orders!K$1,  products!$A$1:$G$1,0))</f>
        <v>1</v>
      </c>
      <c r="L194" s="7">
        <f>INDEX(products!$A$1:$G$49,MATCH(orders!$D194,products!$A$1:$A$49,0), MATCH(orders!L$1,  products!$A$1:$G$1,0))</f>
        <v>12.15</v>
      </c>
      <c r="M194" s="7">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 MATCH(orders!I$1,  products!$A$1:$G$1,0))</f>
        <v>Exc</v>
      </c>
      <c r="J195" t="str">
        <f>INDEX(products!$A$1:$G$49,MATCH(orders!$D195,products!$A$1:$A$49,0), MATCH(orders!J$1,  products!$A$1:$G$1,0))</f>
        <v>L</v>
      </c>
      <c r="K195" s="4">
        <f>INDEX(products!$A$1:$G$49,MATCH(orders!$D195,products!$A$1:$A$49,0), MATCH(orders!K$1,  products!$A$1:$G$1,0))</f>
        <v>1</v>
      </c>
      <c r="L195" s="7">
        <f>INDEX(products!$A$1:$G$49,MATCH(orders!$D195,products!$A$1:$A$49,0), MATCH(orders!L$1,  products!$A$1:$G$1,0))</f>
        <v>14.85</v>
      </c>
      <c r="M195" s="7">
        <f t="shared" ref="M195:M258" si="9">L195*E195</f>
        <v>44.55</v>
      </c>
      <c r="N195" t="str">
        <f t="shared" ref="N195:N258" si="10">IF(I195="Rob","Robusta", IF(I195="Exc","Excelsa", IF(I195="Ara", "Arabica", IF(I195="Lib", "Liberica", ""))))</f>
        <v>Excelsa</v>
      </c>
      <c r="O195" t="str">
        <f t="shared" ref="O195:O258" si="11">IF(J195="M", "Medium", IF(J195="L", "Light",IF(J195="D","Dark","")))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 MATCH(orders!I$1,  products!$A$1:$G$1,0))</f>
        <v>Exc</v>
      </c>
      <c r="J196" t="str">
        <f>INDEX(products!$A$1:$G$49,MATCH(orders!$D196,products!$A$1:$A$49,0), MATCH(orders!J$1,  products!$A$1:$G$1,0))</f>
        <v>D</v>
      </c>
      <c r="K196" s="4">
        <f>INDEX(products!$A$1:$G$49,MATCH(orders!$D196,products!$A$1:$A$49,0), MATCH(orders!K$1,  products!$A$1:$G$1,0))</f>
        <v>0.5</v>
      </c>
      <c r="L196" s="7">
        <f>INDEX(products!$A$1:$G$49,MATCH(orders!$D196,products!$A$1:$A$49,0), MATCH(orders!L$1,  products!$A$1:$G$1,0))</f>
        <v>7.29</v>
      </c>
      <c r="M196" s="7">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 MATCH(orders!I$1,  products!$A$1:$G$1,0))</f>
        <v>Ara</v>
      </c>
      <c r="J197" t="str">
        <f>INDEX(products!$A$1:$G$49,MATCH(orders!$D197,products!$A$1:$A$49,0), MATCH(orders!J$1,  products!$A$1:$G$1,0))</f>
        <v>L</v>
      </c>
      <c r="K197" s="4">
        <f>INDEX(products!$A$1:$G$49,MATCH(orders!$D197,products!$A$1:$A$49,0), MATCH(orders!K$1,  products!$A$1:$G$1,0))</f>
        <v>1</v>
      </c>
      <c r="L197" s="7">
        <f>INDEX(products!$A$1:$G$49,MATCH(orders!$D197,products!$A$1:$A$49,0), MATCH(orders!L$1,  products!$A$1:$G$1,0))</f>
        <v>12.95</v>
      </c>
      <c r="M197" s="7">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 MATCH(orders!I$1,  products!$A$1:$G$1,0))</f>
        <v>Exc</v>
      </c>
      <c r="J198" t="str">
        <f>INDEX(products!$A$1:$G$49,MATCH(orders!$D198,products!$A$1:$A$49,0), MATCH(orders!J$1,  products!$A$1:$G$1,0))</f>
        <v>L</v>
      </c>
      <c r="K198" s="4">
        <f>INDEX(products!$A$1:$G$49,MATCH(orders!$D198,products!$A$1:$A$49,0), MATCH(orders!K$1,  products!$A$1:$G$1,0))</f>
        <v>0.5</v>
      </c>
      <c r="L198" s="7">
        <f>INDEX(products!$A$1:$G$49,MATCH(orders!$D198,products!$A$1:$A$49,0), MATCH(orders!L$1,  products!$A$1:$G$1,0))</f>
        <v>8.91</v>
      </c>
      <c r="M198" s="7">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 MATCH(orders!I$1,  products!$A$1:$G$1,0))</f>
        <v>Lib</v>
      </c>
      <c r="J199" t="str">
        <f>INDEX(products!$A$1:$G$49,MATCH(orders!$D199,products!$A$1:$A$49,0), MATCH(orders!J$1,  products!$A$1:$G$1,0))</f>
        <v>D</v>
      </c>
      <c r="K199" s="4">
        <f>INDEX(products!$A$1:$G$49,MATCH(orders!$D199,products!$A$1:$A$49,0), MATCH(orders!K$1,  products!$A$1:$G$1,0))</f>
        <v>2.5</v>
      </c>
      <c r="L199" s="7">
        <f>INDEX(products!$A$1:$G$49,MATCH(orders!$D199,products!$A$1:$A$49,0), MATCH(orders!L$1,  products!$A$1:$G$1,0))</f>
        <v>29.784999999999997</v>
      </c>
      <c r="M199" s="7">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 MATCH(orders!I$1,  products!$A$1:$G$1,0))</f>
        <v>Lib</v>
      </c>
      <c r="J200" t="str">
        <f>INDEX(products!$A$1:$G$49,MATCH(orders!$D200,products!$A$1:$A$49,0), MATCH(orders!J$1,  products!$A$1:$G$1,0))</f>
        <v>D</v>
      </c>
      <c r="K200" s="4">
        <f>INDEX(products!$A$1:$G$49,MATCH(orders!$D200,products!$A$1:$A$49,0), MATCH(orders!K$1,  products!$A$1:$G$1,0))</f>
        <v>2.5</v>
      </c>
      <c r="L200" s="7">
        <f>INDEX(products!$A$1:$G$49,MATCH(orders!$D200,products!$A$1:$A$49,0), MATCH(orders!L$1,  products!$A$1:$G$1,0))</f>
        <v>29.784999999999997</v>
      </c>
      <c r="M200" s="7">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 MATCH(orders!I$1,  products!$A$1:$G$1,0))</f>
        <v>Lib</v>
      </c>
      <c r="J201" t="str">
        <f>INDEX(products!$A$1:$G$49,MATCH(orders!$D201,products!$A$1:$A$49,0), MATCH(orders!J$1,  products!$A$1:$G$1,0))</f>
        <v>L</v>
      </c>
      <c r="K201" s="4">
        <f>INDEX(products!$A$1:$G$49,MATCH(orders!$D201,products!$A$1:$A$49,0), MATCH(orders!K$1,  products!$A$1:$G$1,0))</f>
        <v>0.5</v>
      </c>
      <c r="L201" s="7">
        <f>INDEX(products!$A$1:$G$49,MATCH(orders!$D201,products!$A$1:$A$49,0), MATCH(orders!L$1,  products!$A$1:$G$1,0))</f>
        <v>9.51</v>
      </c>
      <c r="M201" s="7">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 MATCH(orders!I$1,  products!$A$1:$G$1,0))</f>
        <v>Exc</v>
      </c>
      <c r="J202" t="str">
        <f>INDEX(products!$A$1:$G$49,MATCH(orders!$D202,products!$A$1:$A$49,0), MATCH(orders!J$1,  products!$A$1:$G$1,0))</f>
        <v>M</v>
      </c>
      <c r="K202" s="4">
        <f>INDEX(products!$A$1:$G$49,MATCH(orders!$D202,products!$A$1:$A$49,0), MATCH(orders!K$1,  products!$A$1:$G$1,0))</f>
        <v>1</v>
      </c>
      <c r="L202" s="7">
        <f>INDEX(products!$A$1:$G$49,MATCH(orders!$D202,products!$A$1:$A$49,0), MATCH(orders!L$1,  products!$A$1:$G$1,0))</f>
        <v>13.75</v>
      </c>
      <c r="M202" s="7">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 MATCH(orders!I$1,  products!$A$1:$G$1,0))</f>
        <v>Lib</v>
      </c>
      <c r="J203" t="str">
        <f>INDEX(products!$A$1:$G$49,MATCH(orders!$D203,products!$A$1:$A$49,0), MATCH(orders!J$1,  products!$A$1:$G$1,0))</f>
        <v>L</v>
      </c>
      <c r="K203" s="4">
        <f>INDEX(products!$A$1:$G$49,MATCH(orders!$D203,products!$A$1:$A$49,0), MATCH(orders!K$1,  products!$A$1:$G$1,0))</f>
        <v>0.5</v>
      </c>
      <c r="L203" s="7">
        <f>INDEX(products!$A$1:$G$49,MATCH(orders!$D203,products!$A$1:$A$49,0), MATCH(orders!L$1,  products!$A$1:$G$1,0))</f>
        <v>9.51</v>
      </c>
      <c r="M203" s="7">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 MATCH(orders!I$1,  products!$A$1:$G$1,0))</f>
        <v>Lib</v>
      </c>
      <c r="J204" t="str">
        <f>INDEX(products!$A$1:$G$49,MATCH(orders!$D204,products!$A$1:$A$49,0), MATCH(orders!J$1,  products!$A$1:$G$1,0))</f>
        <v>D</v>
      </c>
      <c r="K204" s="4">
        <f>INDEX(products!$A$1:$G$49,MATCH(orders!$D204,products!$A$1:$A$49,0), MATCH(orders!K$1,  products!$A$1:$G$1,0))</f>
        <v>2.5</v>
      </c>
      <c r="L204" s="7">
        <f>INDEX(products!$A$1:$G$49,MATCH(orders!$D204,products!$A$1:$A$49,0), MATCH(orders!L$1,  products!$A$1:$G$1,0))</f>
        <v>29.784999999999997</v>
      </c>
      <c r="M204" s="7">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 MATCH(orders!I$1,  products!$A$1:$G$1,0))</f>
        <v>Lib</v>
      </c>
      <c r="J205" t="str">
        <f>INDEX(products!$A$1:$G$49,MATCH(orders!$D205,products!$A$1:$A$49,0), MATCH(orders!J$1,  products!$A$1:$G$1,0))</f>
        <v>L</v>
      </c>
      <c r="K205" s="4">
        <f>INDEX(products!$A$1:$G$49,MATCH(orders!$D205,products!$A$1:$A$49,0), MATCH(orders!K$1,  products!$A$1:$G$1,0))</f>
        <v>0.2</v>
      </c>
      <c r="L205" s="7">
        <f>INDEX(products!$A$1:$G$49,MATCH(orders!$D205,products!$A$1:$A$49,0), MATCH(orders!L$1,  products!$A$1:$G$1,0))</f>
        <v>4.7549999999999999</v>
      </c>
      <c r="M205" s="7">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 MATCH(orders!I$1,  products!$A$1:$G$1,0))</f>
        <v>Exc</v>
      </c>
      <c r="J206" t="str">
        <f>INDEX(products!$A$1:$G$49,MATCH(orders!$D206,products!$A$1:$A$49,0), MATCH(orders!J$1,  products!$A$1:$G$1,0))</f>
        <v>M</v>
      </c>
      <c r="K206" s="4">
        <f>INDEX(products!$A$1:$G$49,MATCH(orders!$D206,products!$A$1:$A$49,0), MATCH(orders!K$1,  products!$A$1:$G$1,0))</f>
        <v>1</v>
      </c>
      <c r="L206" s="7">
        <f>INDEX(products!$A$1:$G$49,MATCH(orders!$D206,products!$A$1:$A$49,0), MATCH(orders!L$1,  products!$A$1:$G$1,0))</f>
        <v>13.75</v>
      </c>
      <c r="M206" s="7">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 MATCH(orders!I$1,  products!$A$1:$G$1,0))</f>
        <v>Rob</v>
      </c>
      <c r="J207" t="str">
        <f>INDEX(products!$A$1:$G$49,MATCH(orders!$D207,products!$A$1:$A$49,0), MATCH(orders!J$1,  products!$A$1:$G$1,0))</f>
        <v>D</v>
      </c>
      <c r="K207" s="4">
        <f>INDEX(products!$A$1:$G$49,MATCH(orders!$D207,products!$A$1:$A$49,0), MATCH(orders!K$1,  products!$A$1:$G$1,0))</f>
        <v>0.2</v>
      </c>
      <c r="L207" s="7">
        <f>INDEX(products!$A$1:$G$49,MATCH(orders!$D207,products!$A$1:$A$49,0), MATCH(orders!L$1,  products!$A$1:$G$1,0))</f>
        <v>2.6849999999999996</v>
      </c>
      <c r="M207" s="7">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 MATCH(orders!I$1,  products!$A$1:$G$1,0))</f>
        <v>Ara</v>
      </c>
      <c r="J208" t="str">
        <f>INDEX(products!$A$1:$G$49,MATCH(orders!$D208,products!$A$1:$A$49,0), MATCH(orders!J$1,  products!$A$1:$G$1,0))</f>
        <v>M</v>
      </c>
      <c r="K208" s="4">
        <f>INDEX(products!$A$1:$G$49,MATCH(orders!$D208,products!$A$1:$A$49,0), MATCH(orders!K$1,  products!$A$1:$G$1,0))</f>
        <v>1</v>
      </c>
      <c r="L208" s="7">
        <f>INDEX(products!$A$1:$G$49,MATCH(orders!$D208,products!$A$1:$A$49,0), MATCH(orders!L$1,  products!$A$1:$G$1,0))</f>
        <v>11.25</v>
      </c>
      <c r="M208" s="7">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 MATCH(orders!I$1,  products!$A$1:$G$1,0))</f>
        <v>Ara</v>
      </c>
      <c r="J209" t="str">
        <f>INDEX(products!$A$1:$G$49,MATCH(orders!$D209,products!$A$1:$A$49,0), MATCH(orders!J$1,  products!$A$1:$G$1,0))</f>
        <v>M</v>
      </c>
      <c r="K209" s="4">
        <f>INDEX(products!$A$1:$G$49,MATCH(orders!$D209,products!$A$1:$A$49,0), MATCH(orders!K$1,  products!$A$1:$G$1,0))</f>
        <v>0.5</v>
      </c>
      <c r="L209" s="7">
        <f>INDEX(products!$A$1:$G$49,MATCH(orders!$D209,products!$A$1:$A$49,0), MATCH(orders!L$1,  products!$A$1:$G$1,0))</f>
        <v>6.75</v>
      </c>
      <c r="M209" s="7">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 MATCH(orders!I$1,  products!$A$1:$G$1,0))</f>
        <v>Exc</v>
      </c>
      <c r="J210" t="str">
        <f>INDEX(products!$A$1:$G$49,MATCH(orders!$D210,products!$A$1:$A$49,0), MATCH(orders!J$1,  products!$A$1:$G$1,0))</f>
        <v>D</v>
      </c>
      <c r="K210" s="4">
        <f>INDEX(products!$A$1:$G$49,MATCH(orders!$D210,products!$A$1:$A$49,0), MATCH(orders!K$1,  products!$A$1:$G$1,0))</f>
        <v>0.5</v>
      </c>
      <c r="L210" s="7">
        <f>INDEX(products!$A$1:$G$49,MATCH(orders!$D210,products!$A$1:$A$49,0), MATCH(orders!L$1,  products!$A$1:$G$1,0))</f>
        <v>7.29</v>
      </c>
      <c r="M210" s="7">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 MATCH(orders!I$1,  products!$A$1:$G$1,0))</f>
        <v>Ara</v>
      </c>
      <c r="J211" t="str">
        <f>INDEX(products!$A$1:$G$49,MATCH(orders!$D211,products!$A$1:$A$49,0), MATCH(orders!J$1,  products!$A$1:$G$1,0))</f>
        <v>M</v>
      </c>
      <c r="K211" s="4">
        <f>INDEX(products!$A$1:$G$49,MATCH(orders!$D211,products!$A$1:$A$49,0), MATCH(orders!K$1,  products!$A$1:$G$1,0))</f>
        <v>0.5</v>
      </c>
      <c r="L211" s="7">
        <f>INDEX(products!$A$1:$G$49,MATCH(orders!$D211,products!$A$1:$A$49,0), MATCH(orders!L$1,  products!$A$1:$G$1,0))</f>
        <v>6.75</v>
      </c>
      <c r="M211" s="7">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 MATCH(orders!I$1,  products!$A$1:$G$1,0))</f>
        <v>Lib</v>
      </c>
      <c r="J212" t="str">
        <f>INDEX(products!$A$1:$G$49,MATCH(orders!$D212,products!$A$1:$A$49,0), MATCH(orders!J$1,  products!$A$1:$G$1,0))</f>
        <v>D</v>
      </c>
      <c r="K212" s="4">
        <f>INDEX(products!$A$1:$G$49,MATCH(orders!$D212,products!$A$1:$A$49,0), MATCH(orders!K$1,  products!$A$1:$G$1,0))</f>
        <v>1</v>
      </c>
      <c r="L212" s="7">
        <f>INDEX(products!$A$1:$G$49,MATCH(orders!$D212,products!$A$1:$A$49,0), MATCH(orders!L$1,  products!$A$1:$G$1,0))</f>
        <v>12.95</v>
      </c>
      <c r="M212" s="7">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 MATCH(orders!I$1,  products!$A$1:$G$1,0))</f>
        <v>Exc</v>
      </c>
      <c r="J213" t="str">
        <f>INDEX(products!$A$1:$G$49,MATCH(orders!$D213,products!$A$1:$A$49,0), MATCH(orders!J$1,  products!$A$1:$G$1,0))</f>
        <v>L</v>
      </c>
      <c r="K213" s="4">
        <f>INDEX(products!$A$1:$G$49,MATCH(orders!$D213,products!$A$1:$A$49,0), MATCH(orders!K$1,  products!$A$1:$G$1,0))</f>
        <v>0.5</v>
      </c>
      <c r="L213" s="7">
        <f>INDEX(products!$A$1:$G$49,MATCH(orders!$D213,products!$A$1:$A$49,0), MATCH(orders!L$1,  products!$A$1:$G$1,0))</f>
        <v>8.91</v>
      </c>
      <c r="M213" s="7">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 MATCH(orders!I$1,  products!$A$1:$G$1,0))</f>
        <v>Exc</v>
      </c>
      <c r="J214" t="str">
        <f>INDEX(products!$A$1:$G$49,MATCH(orders!$D214,products!$A$1:$A$49,0), MATCH(orders!J$1,  products!$A$1:$G$1,0))</f>
        <v>D</v>
      </c>
      <c r="K214" s="4">
        <f>INDEX(products!$A$1:$G$49,MATCH(orders!$D214,products!$A$1:$A$49,0), MATCH(orders!K$1,  products!$A$1:$G$1,0))</f>
        <v>0.2</v>
      </c>
      <c r="L214" s="7">
        <f>INDEX(products!$A$1:$G$49,MATCH(orders!$D214,products!$A$1:$A$49,0), MATCH(orders!L$1,  products!$A$1:$G$1,0))</f>
        <v>3.645</v>
      </c>
      <c r="M214" s="7">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 MATCH(orders!I$1,  products!$A$1:$G$1,0))</f>
        <v>Rob</v>
      </c>
      <c r="J215" t="str">
        <f>INDEX(products!$A$1:$G$49,MATCH(orders!$D215,products!$A$1:$A$49,0), MATCH(orders!J$1,  products!$A$1:$G$1,0))</f>
        <v>D</v>
      </c>
      <c r="K215" s="4">
        <f>INDEX(products!$A$1:$G$49,MATCH(orders!$D215,products!$A$1:$A$49,0), MATCH(orders!K$1,  products!$A$1:$G$1,0))</f>
        <v>2.5</v>
      </c>
      <c r="L215" s="7">
        <f>INDEX(products!$A$1:$G$49,MATCH(orders!$D215,products!$A$1:$A$49,0), MATCH(orders!L$1,  products!$A$1:$G$1,0))</f>
        <v>20.584999999999997</v>
      </c>
      <c r="M215" s="7">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 MATCH(orders!I$1,  products!$A$1:$G$1,0))</f>
        <v>Lib</v>
      </c>
      <c r="J216" t="str">
        <f>INDEX(products!$A$1:$G$49,MATCH(orders!$D216,products!$A$1:$A$49,0), MATCH(orders!J$1,  products!$A$1:$G$1,0))</f>
        <v>L</v>
      </c>
      <c r="K216" s="4">
        <f>INDEX(products!$A$1:$G$49,MATCH(orders!$D216,products!$A$1:$A$49,0), MATCH(orders!K$1,  products!$A$1:$G$1,0))</f>
        <v>1</v>
      </c>
      <c r="L216" s="7">
        <f>INDEX(products!$A$1:$G$49,MATCH(orders!$D216,products!$A$1:$A$49,0), MATCH(orders!L$1,  products!$A$1:$G$1,0))</f>
        <v>15.85</v>
      </c>
      <c r="M216" s="7">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 MATCH(orders!I$1,  products!$A$1:$G$1,0))</f>
        <v>Lib</v>
      </c>
      <c r="J217" t="str">
        <f>INDEX(products!$A$1:$G$49,MATCH(orders!$D217,products!$A$1:$A$49,0), MATCH(orders!J$1,  products!$A$1:$G$1,0))</f>
        <v>D</v>
      </c>
      <c r="K217" s="4">
        <f>INDEX(products!$A$1:$G$49,MATCH(orders!$D217,products!$A$1:$A$49,0), MATCH(orders!K$1,  products!$A$1:$G$1,0))</f>
        <v>0.2</v>
      </c>
      <c r="L217" s="7">
        <f>INDEX(products!$A$1:$G$49,MATCH(orders!$D217,products!$A$1:$A$49,0), MATCH(orders!L$1,  products!$A$1:$G$1,0))</f>
        <v>3.8849999999999998</v>
      </c>
      <c r="M217" s="7">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 MATCH(orders!I$1,  products!$A$1:$G$1,0))</f>
        <v>Lib</v>
      </c>
      <c r="J218" t="str">
        <f>INDEX(products!$A$1:$G$49,MATCH(orders!$D218,products!$A$1:$A$49,0), MATCH(orders!J$1,  products!$A$1:$G$1,0))</f>
        <v>M</v>
      </c>
      <c r="K218" s="4">
        <f>INDEX(products!$A$1:$G$49,MATCH(orders!$D218,products!$A$1:$A$49,0), MATCH(orders!K$1,  products!$A$1:$G$1,0))</f>
        <v>1</v>
      </c>
      <c r="L218" s="7">
        <f>INDEX(products!$A$1:$G$49,MATCH(orders!$D218,products!$A$1:$A$49,0), MATCH(orders!L$1,  products!$A$1:$G$1,0))</f>
        <v>14.55</v>
      </c>
      <c r="M218" s="7">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 MATCH(orders!I$1,  products!$A$1:$G$1,0))</f>
        <v>Exc</v>
      </c>
      <c r="J219" t="str">
        <f>INDEX(products!$A$1:$G$49,MATCH(orders!$D219,products!$A$1:$A$49,0), MATCH(orders!J$1,  products!$A$1:$G$1,0))</f>
        <v>L</v>
      </c>
      <c r="K219" s="4">
        <f>INDEX(products!$A$1:$G$49,MATCH(orders!$D219,products!$A$1:$A$49,0), MATCH(orders!K$1,  products!$A$1:$G$1,0))</f>
        <v>0.5</v>
      </c>
      <c r="L219" s="7">
        <f>INDEX(products!$A$1:$G$49,MATCH(orders!$D219,products!$A$1:$A$49,0), MATCH(orders!L$1,  products!$A$1:$G$1,0))</f>
        <v>8.91</v>
      </c>
      <c r="M219" s="7">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 MATCH(orders!I$1,  products!$A$1:$G$1,0))</f>
        <v>Ara</v>
      </c>
      <c r="J220" t="str">
        <f>INDEX(products!$A$1:$G$49,MATCH(orders!$D220,products!$A$1:$A$49,0), MATCH(orders!J$1,  products!$A$1:$G$1,0))</f>
        <v>M</v>
      </c>
      <c r="K220" s="4">
        <f>INDEX(products!$A$1:$G$49,MATCH(orders!$D220,products!$A$1:$A$49,0), MATCH(orders!K$1,  products!$A$1:$G$1,0))</f>
        <v>1</v>
      </c>
      <c r="L220" s="7">
        <f>INDEX(products!$A$1:$G$49,MATCH(orders!$D220,products!$A$1:$A$49,0), MATCH(orders!L$1,  products!$A$1:$G$1,0))</f>
        <v>11.25</v>
      </c>
      <c r="M220" s="7">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 MATCH(orders!I$1,  products!$A$1:$G$1,0))</f>
        <v>Rob</v>
      </c>
      <c r="J221" t="str">
        <f>INDEX(products!$A$1:$G$49,MATCH(orders!$D221,products!$A$1:$A$49,0), MATCH(orders!J$1,  products!$A$1:$G$1,0))</f>
        <v>L</v>
      </c>
      <c r="K221" s="4">
        <f>INDEX(products!$A$1:$G$49,MATCH(orders!$D221,products!$A$1:$A$49,0), MATCH(orders!K$1,  products!$A$1:$G$1,0))</f>
        <v>0.2</v>
      </c>
      <c r="L221" s="7">
        <f>INDEX(products!$A$1:$G$49,MATCH(orders!$D221,products!$A$1:$A$49,0), MATCH(orders!L$1,  products!$A$1:$G$1,0))</f>
        <v>3.5849999999999995</v>
      </c>
      <c r="M221" s="7">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 MATCH(orders!I$1,  products!$A$1:$G$1,0))</f>
        <v>Rob</v>
      </c>
      <c r="J222" t="str">
        <f>INDEX(products!$A$1:$G$49,MATCH(orders!$D222,products!$A$1:$A$49,0), MATCH(orders!J$1,  products!$A$1:$G$1,0))</f>
        <v>M</v>
      </c>
      <c r="K222" s="4">
        <f>INDEX(products!$A$1:$G$49,MATCH(orders!$D222,products!$A$1:$A$49,0), MATCH(orders!K$1,  products!$A$1:$G$1,0))</f>
        <v>0.2</v>
      </c>
      <c r="L222" s="7">
        <f>INDEX(products!$A$1:$G$49,MATCH(orders!$D222,products!$A$1:$A$49,0), MATCH(orders!L$1,  products!$A$1:$G$1,0))</f>
        <v>2.9849999999999999</v>
      </c>
      <c r="M222" s="7">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 MATCH(orders!I$1,  products!$A$1:$G$1,0))</f>
        <v>Ara</v>
      </c>
      <c r="J223" t="str">
        <f>INDEX(products!$A$1:$G$49,MATCH(orders!$D223,products!$A$1:$A$49,0), MATCH(orders!J$1,  products!$A$1:$G$1,0))</f>
        <v>L</v>
      </c>
      <c r="K223" s="4">
        <f>INDEX(products!$A$1:$G$49,MATCH(orders!$D223,products!$A$1:$A$49,0), MATCH(orders!K$1,  products!$A$1:$G$1,0))</f>
        <v>1</v>
      </c>
      <c r="L223" s="7">
        <f>INDEX(products!$A$1:$G$49,MATCH(orders!$D223,products!$A$1:$A$49,0), MATCH(orders!L$1,  products!$A$1:$G$1,0))</f>
        <v>12.95</v>
      </c>
      <c r="M223" s="7">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 MATCH(orders!I$1,  products!$A$1:$G$1,0))</f>
        <v>Lib</v>
      </c>
      <c r="J224" t="str">
        <f>INDEX(products!$A$1:$G$49,MATCH(orders!$D224,products!$A$1:$A$49,0), MATCH(orders!J$1,  products!$A$1:$G$1,0))</f>
        <v>D</v>
      </c>
      <c r="K224" s="4">
        <f>INDEX(products!$A$1:$G$49,MATCH(orders!$D224,products!$A$1:$A$49,0), MATCH(orders!K$1,  products!$A$1:$G$1,0))</f>
        <v>0.5</v>
      </c>
      <c r="L224" s="7">
        <f>INDEX(products!$A$1:$G$49,MATCH(orders!$D224,products!$A$1:$A$49,0), MATCH(orders!L$1,  products!$A$1:$G$1,0))</f>
        <v>7.77</v>
      </c>
      <c r="M224" s="7">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 MATCH(orders!I$1,  products!$A$1:$G$1,0))</f>
        <v>Exc</v>
      </c>
      <c r="J225" t="str">
        <f>INDEX(products!$A$1:$G$49,MATCH(orders!$D225,products!$A$1:$A$49,0), MATCH(orders!J$1,  products!$A$1:$G$1,0))</f>
        <v>L</v>
      </c>
      <c r="K225" s="4">
        <f>INDEX(products!$A$1:$G$49,MATCH(orders!$D225,products!$A$1:$A$49,0), MATCH(orders!K$1,  products!$A$1:$G$1,0))</f>
        <v>1</v>
      </c>
      <c r="L225" s="7">
        <f>INDEX(products!$A$1:$G$49,MATCH(orders!$D225,products!$A$1:$A$49,0), MATCH(orders!L$1,  products!$A$1:$G$1,0))</f>
        <v>14.85</v>
      </c>
      <c r="M225" s="7">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 MATCH(orders!I$1,  products!$A$1:$G$1,0))</f>
        <v>Lib</v>
      </c>
      <c r="J226" t="str">
        <f>INDEX(products!$A$1:$G$49,MATCH(orders!$D226,products!$A$1:$A$49,0), MATCH(orders!J$1,  products!$A$1:$G$1,0))</f>
        <v>D</v>
      </c>
      <c r="K226" s="4">
        <f>INDEX(products!$A$1:$G$49,MATCH(orders!$D226,products!$A$1:$A$49,0), MATCH(orders!K$1,  products!$A$1:$G$1,0))</f>
        <v>2.5</v>
      </c>
      <c r="L226" s="7">
        <f>INDEX(products!$A$1:$G$49,MATCH(orders!$D226,products!$A$1:$A$49,0), MATCH(orders!L$1,  products!$A$1:$G$1,0))</f>
        <v>29.784999999999997</v>
      </c>
      <c r="M226" s="7">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 MATCH(orders!I$1,  products!$A$1:$G$1,0))</f>
        <v>Rob</v>
      </c>
      <c r="J227" t="str">
        <f>INDEX(products!$A$1:$G$49,MATCH(orders!$D227,products!$A$1:$A$49,0), MATCH(orders!J$1,  products!$A$1:$G$1,0))</f>
        <v>L</v>
      </c>
      <c r="K227" s="4">
        <f>INDEX(products!$A$1:$G$49,MATCH(orders!$D227,products!$A$1:$A$49,0), MATCH(orders!K$1,  products!$A$1:$G$1,0))</f>
        <v>0.2</v>
      </c>
      <c r="L227" s="7">
        <f>INDEX(products!$A$1:$G$49,MATCH(orders!$D227,products!$A$1:$A$49,0), MATCH(orders!L$1,  products!$A$1:$G$1,0))</f>
        <v>3.5849999999999995</v>
      </c>
      <c r="M227" s="7">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 MATCH(orders!I$1,  products!$A$1:$G$1,0))</f>
        <v>Ara</v>
      </c>
      <c r="J228" t="str">
        <f>INDEX(products!$A$1:$G$49,MATCH(orders!$D228,products!$A$1:$A$49,0), MATCH(orders!J$1,  products!$A$1:$G$1,0))</f>
        <v>M</v>
      </c>
      <c r="K228" s="4">
        <f>INDEX(products!$A$1:$G$49,MATCH(orders!$D228,products!$A$1:$A$49,0), MATCH(orders!K$1,  products!$A$1:$G$1,0))</f>
        <v>2.5</v>
      </c>
      <c r="L228" s="7">
        <f>INDEX(products!$A$1:$G$49,MATCH(orders!$D228,products!$A$1:$A$49,0), MATCH(orders!L$1,  products!$A$1:$G$1,0))</f>
        <v>25.874999999999996</v>
      </c>
      <c r="M228" s="7">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 MATCH(orders!I$1,  products!$A$1:$G$1,0))</f>
        <v>Rob</v>
      </c>
      <c r="J229" t="str">
        <f>INDEX(products!$A$1:$G$49,MATCH(orders!$D229,products!$A$1:$A$49,0), MATCH(orders!J$1,  products!$A$1:$G$1,0))</f>
        <v>D</v>
      </c>
      <c r="K229" s="4">
        <f>INDEX(products!$A$1:$G$49,MATCH(orders!$D229,products!$A$1:$A$49,0), MATCH(orders!K$1,  products!$A$1:$G$1,0))</f>
        <v>0.2</v>
      </c>
      <c r="L229" s="7">
        <f>INDEX(products!$A$1:$G$49,MATCH(orders!$D229,products!$A$1:$A$49,0), MATCH(orders!L$1,  products!$A$1:$G$1,0))</f>
        <v>2.6849999999999996</v>
      </c>
      <c r="M229" s="7">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 MATCH(orders!I$1,  products!$A$1:$G$1,0))</f>
        <v>Rob</v>
      </c>
      <c r="J230" t="str">
        <f>INDEX(products!$A$1:$G$49,MATCH(orders!$D230,products!$A$1:$A$49,0), MATCH(orders!J$1,  products!$A$1:$G$1,0))</f>
        <v>L</v>
      </c>
      <c r="K230" s="4">
        <f>INDEX(products!$A$1:$G$49,MATCH(orders!$D230,products!$A$1:$A$49,0), MATCH(orders!K$1,  products!$A$1:$G$1,0))</f>
        <v>0.2</v>
      </c>
      <c r="L230" s="7">
        <f>INDEX(products!$A$1:$G$49,MATCH(orders!$D230,products!$A$1:$A$49,0), MATCH(orders!L$1,  products!$A$1:$G$1,0))</f>
        <v>3.5849999999999995</v>
      </c>
      <c r="M230" s="7">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 MATCH(orders!I$1,  products!$A$1:$G$1,0))</f>
        <v>Lib</v>
      </c>
      <c r="J231" t="str">
        <f>INDEX(products!$A$1:$G$49,MATCH(orders!$D231,products!$A$1:$A$49,0), MATCH(orders!J$1,  products!$A$1:$G$1,0))</f>
        <v>M</v>
      </c>
      <c r="K231" s="4">
        <f>INDEX(products!$A$1:$G$49,MATCH(orders!$D231,products!$A$1:$A$49,0), MATCH(orders!K$1,  products!$A$1:$G$1,0))</f>
        <v>0.2</v>
      </c>
      <c r="L231" s="7">
        <f>INDEX(products!$A$1:$G$49,MATCH(orders!$D231,products!$A$1:$A$49,0), MATCH(orders!L$1,  products!$A$1:$G$1,0))</f>
        <v>4.3650000000000002</v>
      </c>
      <c r="M231" s="7">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 MATCH(orders!I$1,  products!$A$1:$G$1,0))</f>
        <v>Ara</v>
      </c>
      <c r="J232" t="str">
        <f>INDEX(products!$A$1:$G$49,MATCH(orders!$D232,products!$A$1:$A$49,0), MATCH(orders!J$1,  products!$A$1:$G$1,0))</f>
        <v>M</v>
      </c>
      <c r="K232" s="4">
        <f>INDEX(products!$A$1:$G$49,MATCH(orders!$D232,products!$A$1:$A$49,0), MATCH(orders!K$1,  products!$A$1:$G$1,0))</f>
        <v>2.5</v>
      </c>
      <c r="L232" s="7">
        <f>INDEX(products!$A$1:$G$49,MATCH(orders!$D232,products!$A$1:$A$49,0), MATCH(orders!L$1,  products!$A$1:$G$1,0))</f>
        <v>25.874999999999996</v>
      </c>
      <c r="M232" s="7">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 MATCH(orders!I$1,  products!$A$1:$G$1,0))</f>
        <v>Lib</v>
      </c>
      <c r="J233" t="str">
        <f>INDEX(products!$A$1:$G$49,MATCH(orders!$D233,products!$A$1:$A$49,0), MATCH(orders!J$1,  products!$A$1:$G$1,0))</f>
        <v>M</v>
      </c>
      <c r="K233" s="4">
        <f>INDEX(products!$A$1:$G$49,MATCH(orders!$D233,products!$A$1:$A$49,0), MATCH(orders!K$1,  products!$A$1:$G$1,0))</f>
        <v>0.2</v>
      </c>
      <c r="L233" s="7">
        <f>INDEX(products!$A$1:$G$49,MATCH(orders!$D233,products!$A$1:$A$49,0), MATCH(orders!L$1,  products!$A$1:$G$1,0))</f>
        <v>4.3650000000000002</v>
      </c>
      <c r="M233" s="7">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 MATCH(orders!I$1,  products!$A$1:$G$1,0))</f>
        <v>Lib</v>
      </c>
      <c r="J234" t="str">
        <f>INDEX(products!$A$1:$G$49,MATCH(orders!$D234,products!$A$1:$A$49,0), MATCH(orders!J$1,  products!$A$1:$G$1,0))</f>
        <v>L</v>
      </c>
      <c r="K234" s="4">
        <f>INDEX(products!$A$1:$G$49,MATCH(orders!$D234,products!$A$1:$A$49,0), MATCH(orders!K$1,  products!$A$1:$G$1,0))</f>
        <v>0.2</v>
      </c>
      <c r="L234" s="7">
        <f>INDEX(products!$A$1:$G$49,MATCH(orders!$D234,products!$A$1:$A$49,0), MATCH(orders!L$1,  products!$A$1:$G$1,0))</f>
        <v>4.7549999999999999</v>
      </c>
      <c r="M234" s="7">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 MATCH(orders!I$1,  products!$A$1:$G$1,0))</f>
        <v>Exc</v>
      </c>
      <c r="J235" t="str">
        <f>INDEX(products!$A$1:$G$49,MATCH(orders!$D235,products!$A$1:$A$49,0), MATCH(orders!J$1,  products!$A$1:$G$1,0))</f>
        <v>M</v>
      </c>
      <c r="K235" s="4">
        <f>INDEX(products!$A$1:$G$49,MATCH(orders!$D235,products!$A$1:$A$49,0), MATCH(orders!K$1,  products!$A$1:$G$1,0))</f>
        <v>0.2</v>
      </c>
      <c r="L235" s="7">
        <f>INDEX(products!$A$1:$G$49,MATCH(orders!$D235,products!$A$1:$A$49,0), MATCH(orders!L$1,  products!$A$1:$G$1,0))</f>
        <v>4.125</v>
      </c>
      <c r="M235" s="7">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 MATCH(orders!I$1,  products!$A$1:$G$1,0))</f>
        <v>Lib</v>
      </c>
      <c r="J236" t="str">
        <f>INDEX(products!$A$1:$G$49,MATCH(orders!$D236,products!$A$1:$A$49,0), MATCH(orders!J$1,  products!$A$1:$G$1,0))</f>
        <v>L</v>
      </c>
      <c r="K236" s="4">
        <f>INDEX(products!$A$1:$G$49,MATCH(orders!$D236,products!$A$1:$A$49,0), MATCH(orders!K$1,  products!$A$1:$G$1,0))</f>
        <v>2.5</v>
      </c>
      <c r="L236" s="7">
        <f>INDEX(products!$A$1:$G$49,MATCH(orders!$D236,products!$A$1:$A$49,0), MATCH(orders!L$1,  products!$A$1:$G$1,0))</f>
        <v>36.454999999999998</v>
      </c>
      <c r="M236" s="7">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 MATCH(orders!I$1,  products!$A$1:$G$1,0))</f>
        <v>Lib</v>
      </c>
      <c r="J237" t="str">
        <f>INDEX(products!$A$1:$G$49,MATCH(orders!$D237,products!$A$1:$A$49,0), MATCH(orders!J$1,  products!$A$1:$G$1,0))</f>
        <v>L</v>
      </c>
      <c r="K237" s="4">
        <f>INDEX(products!$A$1:$G$49,MATCH(orders!$D237,products!$A$1:$A$49,0), MATCH(orders!K$1,  products!$A$1:$G$1,0))</f>
        <v>2.5</v>
      </c>
      <c r="L237" s="7">
        <f>INDEX(products!$A$1:$G$49,MATCH(orders!$D237,products!$A$1:$A$49,0), MATCH(orders!L$1,  products!$A$1:$G$1,0))</f>
        <v>36.454999999999998</v>
      </c>
      <c r="M237" s="7">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 MATCH(orders!I$1,  products!$A$1:$G$1,0))</f>
        <v>Lib</v>
      </c>
      <c r="J238" t="str">
        <f>INDEX(products!$A$1:$G$49,MATCH(orders!$D238,products!$A$1:$A$49,0), MATCH(orders!J$1,  products!$A$1:$G$1,0))</f>
        <v>D</v>
      </c>
      <c r="K238" s="4">
        <f>INDEX(products!$A$1:$G$49,MATCH(orders!$D238,products!$A$1:$A$49,0), MATCH(orders!K$1,  products!$A$1:$G$1,0))</f>
        <v>2.5</v>
      </c>
      <c r="L238" s="7">
        <f>INDEX(products!$A$1:$G$49,MATCH(orders!$D238,products!$A$1:$A$49,0), MATCH(orders!L$1,  products!$A$1:$G$1,0))</f>
        <v>29.784999999999997</v>
      </c>
      <c r="M238" s="7">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 MATCH(orders!I$1,  products!$A$1:$G$1,0))</f>
        <v>Rob</v>
      </c>
      <c r="J239" t="str">
        <f>INDEX(products!$A$1:$G$49,MATCH(orders!$D239,products!$A$1:$A$49,0), MATCH(orders!J$1,  products!$A$1:$G$1,0))</f>
        <v>L</v>
      </c>
      <c r="K239" s="4">
        <f>INDEX(products!$A$1:$G$49,MATCH(orders!$D239,products!$A$1:$A$49,0), MATCH(orders!K$1,  products!$A$1:$G$1,0))</f>
        <v>0.2</v>
      </c>
      <c r="L239" s="7">
        <f>INDEX(products!$A$1:$G$49,MATCH(orders!$D239,products!$A$1:$A$49,0), MATCH(orders!L$1,  products!$A$1:$G$1,0))</f>
        <v>3.5849999999999995</v>
      </c>
      <c r="M239" s="7">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 MATCH(orders!I$1,  products!$A$1:$G$1,0))</f>
        <v>Rob</v>
      </c>
      <c r="J240" t="str">
        <f>INDEX(products!$A$1:$G$49,MATCH(orders!$D240,products!$A$1:$A$49,0), MATCH(orders!J$1,  products!$A$1:$G$1,0))</f>
        <v>M</v>
      </c>
      <c r="K240" s="4">
        <f>INDEX(products!$A$1:$G$49,MATCH(orders!$D240,products!$A$1:$A$49,0), MATCH(orders!K$1,  products!$A$1:$G$1,0))</f>
        <v>2.5</v>
      </c>
      <c r="L240" s="7">
        <f>INDEX(products!$A$1:$G$49,MATCH(orders!$D240,products!$A$1:$A$49,0), MATCH(orders!L$1,  products!$A$1:$G$1,0))</f>
        <v>22.884999999999998</v>
      </c>
      <c r="M240" s="7">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 MATCH(orders!I$1,  products!$A$1:$G$1,0))</f>
        <v>Exc</v>
      </c>
      <c r="J241" t="str">
        <f>INDEX(products!$A$1:$G$49,MATCH(orders!$D241,products!$A$1:$A$49,0), MATCH(orders!J$1,  products!$A$1:$G$1,0))</f>
        <v>L</v>
      </c>
      <c r="K241" s="4">
        <f>INDEX(products!$A$1:$G$49,MATCH(orders!$D241,products!$A$1:$A$49,0), MATCH(orders!K$1,  products!$A$1:$G$1,0))</f>
        <v>1</v>
      </c>
      <c r="L241" s="7">
        <f>INDEX(products!$A$1:$G$49,MATCH(orders!$D241,products!$A$1:$A$49,0), MATCH(orders!L$1,  products!$A$1:$G$1,0))</f>
        <v>14.85</v>
      </c>
      <c r="M241" s="7">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 MATCH(orders!I$1,  products!$A$1:$G$1,0))</f>
        <v>Ara</v>
      </c>
      <c r="J242" t="str">
        <f>INDEX(products!$A$1:$G$49,MATCH(orders!$D242,products!$A$1:$A$49,0), MATCH(orders!J$1,  products!$A$1:$G$1,0))</f>
        <v>M</v>
      </c>
      <c r="K242" s="4">
        <f>INDEX(products!$A$1:$G$49,MATCH(orders!$D242,products!$A$1:$A$49,0), MATCH(orders!K$1,  products!$A$1:$G$1,0))</f>
        <v>2.5</v>
      </c>
      <c r="L242" s="7">
        <f>INDEX(products!$A$1:$G$49,MATCH(orders!$D242,products!$A$1:$A$49,0), MATCH(orders!L$1,  products!$A$1:$G$1,0))</f>
        <v>25.874999999999996</v>
      </c>
      <c r="M242" s="7">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 MATCH(orders!I$1,  products!$A$1:$G$1,0))</f>
        <v>Rob</v>
      </c>
      <c r="J243" t="str">
        <f>INDEX(products!$A$1:$G$49,MATCH(orders!$D243,products!$A$1:$A$49,0), MATCH(orders!J$1,  products!$A$1:$G$1,0))</f>
        <v>M</v>
      </c>
      <c r="K243" s="4">
        <f>INDEX(products!$A$1:$G$49,MATCH(orders!$D243,products!$A$1:$A$49,0), MATCH(orders!K$1,  products!$A$1:$G$1,0))</f>
        <v>2.5</v>
      </c>
      <c r="L243" s="7">
        <f>INDEX(products!$A$1:$G$49,MATCH(orders!$D243,products!$A$1:$A$49,0), MATCH(orders!L$1,  products!$A$1:$G$1,0))</f>
        <v>22.884999999999998</v>
      </c>
      <c r="M243" s="7">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 MATCH(orders!I$1,  products!$A$1:$G$1,0))</f>
        <v>Exc</v>
      </c>
      <c r="J244" t="str">
        <f>INDEX(products!$A$1:$G$49,MATCH(orders!$D244,products!$A$1:$A$49,0), MATCH(orders!J$1,  products!$A$1:$G$1,0))</f>
        <v>D</v>
      </c>
      <c r="K244" s="4">
        <f>INDEX(products!$A$1:$G$49,MATCH(orders!$D244,products!$A$1:$A$49,0), MATCH(orders!K$1,  products!$A$1:$G$1,0))</f>
        <v>1</v>
      </c>
      <c r="L244" s="7">
        <f>INDEX(products!$A$1:$G$49,MATCH(orders!$D244,products!$A$1:$A$49,0), MATCH(orders!L$1,  products!$A$1:$G$1,0))</f>
        <v>12.15</v>
      </c>
      <c r="M244" s="7">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 MATCH(orders!I$1,  products!$A$1:$G$1,0))</f>
        <v>Exc</v>
      </c>
      <c r="J245" t="str">
        <f>INDEX(products!$A$1:$G$49,MATCH(orders!$D245,products!$A$1:$A$49,0), MATCH(orders!J$1,  products!$A$1:$G$1,0))</f>
        <v>D</v>
      </c>
      <c r="K245" s="4">
        <f>INDEX(products!$A$1:$G$49,MATCH(orders!$D245,products!$A$1:$A$49,0), MATCH(orders!K$1,  products!$A$1:$G$1,0))</f>
        <v>0.5</v>
      </c>
      <c r="L245" s="7">
        <f>INDEX(products!$A$1:$G$49,MATCH(orders!$D245,products!$A$1:$A$49,0), MATCH(orders!L$1,  products!$A$1:$G$1,0))</f>
        <v>7.29</v>
      </c>
      <c r="M245" s="7">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 MATCH(orders!I$1,  products!$A$1:$G$1,0))</f>
        <v>Lib</v>
      </c>
      <c r="J246" t="str">
        <f>INDEX(products!$A$1:$G$49,MATCH(orders!$D246,products!$A$1:$A$49,0), MATCH(orders!J$1,  products!$A$1:$G$1,0))</f>
        <v>M</v>
      </c>
      <c r="K246" s="4">
        <f>INDEX(products!$A$1:$G$49,MATCH(orders!$D246,products!$A$1:$A$49,0), MATCH(orders!K$1,  products!$A$1:$G$1,0))</f>
        <v>2.5</v>
      </c>
      <c r="L246" s="7">
        <f>INDEX(products!$A$1:$G$49,MATCH(orders!$D246,products!$A$1:$A$49,0), MATCH(orders!L$1,  products!$A$1:$G$1,0))</f>
        <v>33.464999999999996</v>
      </c>
      <c r="M246" s="7">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 MATCH(orders!I$1,  products!$A$1:$G$1,0))</f>
        <v>Lib</v>
      </c>
      <c r="J247" t="str">
        <f>INDEX(products!$A$1:$G$49,MATCH(orders!$D247,products!$A$1:$A$49,0), MATCH(orders!J$1,  products!$A$1:$G$1,0))</f>
        <v>L</v>
      </c>
      <c r="K247" s="4">
        <f>INDEX(products!$A$1:$G$49,MATCH(orders!$D247,products!$A$1:$A$49,0), MATCH(orders!K$1,  products!$A$1:$G$1,0))</f>
        <v>0.2</v>
      </c>
      <c r="L247" s="7">
        <f>INDEX(products!$A$1:$G$49,MATCH(orders!$D247,products!$A$1:$A$49,0), MATCH(orders!L$1,  products!$A$1:$G$1,0))</f>
        <v>4.7549999999999999</v>
      </c>
      <c r="M247" s="7">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 MATCH(orders!I$1,  products!$A$1:$G$1,0))</f>
        <v>Lib</v>
      </c>
      <c r="J248" t="str">
        <f>INDEX(products!$A$1:$G$49,MATCH(orders!$D248,products!$A$1:$A$49,0), MATCH(orders!J$1,  products!$A$1:$G$1,0))</f>
        <v>D</v>
      </c>
      <c r="K248" s="4">
        <f>INDEX(products!$A$1:$G$49,MATCH(orders!$D248,products!$A$1:$A$49,0), MATCH(orders!K$1,  products!$A$1:$G$1,0))</f>
        <v>1</v>
      </c>
      <c r="L248" s="7">
        <f>INDEX(products!$A$1:$G$49,MATCH(orders!$D248,products!$A$1:$A$49,0), MATCH(orders!L$1,  products!$A$1:$G$1,0))</f>
        <v>12.95</v>
      </c>
      <c r="M248" s="7">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 MATCH(orders!I$1,  products!$A$1:$G$1,0))</f>
        <v>Rob</v>
      </c>
      <c r="J249" t="str">
        <f>INDEX(products!$A$1:$G$49,MATCH(orders!$D249,products!$A$1:$A$49,0), MATCH(orders!J$1,  products!$A$1:$G$1,0))</f>
        <v>L</v>
      </c>
      <c r="K249" s="4">
        <f>INDEX(products!$A$1:$G$49,MATCH(orders!$D249,products!$A$1:$A$49,0), MATCH(orders!K$1,  products!$A$1:$G$1,0))</f>
        <v>0.2</v>
      </c>
      <c r="L249" s="7">
        <f>INDEX(products!$A$1:$G$49,MATCH(orders!$D249,products!$A$1:$A$49,0), MATCH(orders!L$1,  products!$A$1:$G$1,0))</f>
        <v>3.5849999999999995</v>
      </c>
      <c r="M249" s="7">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 MATCH(orders!I$1,  products!$A$1:$G$1,0))</f>
        <v>Ara</v>
      </c>
      <c r="J250" t="str">
        <f>INDEX(products!$A$1:$G$49,MATCH(orders!$D250,products!$A$1:$A$49,0), MATCH(orders!J$1,  products!$A$1:$G$1,0))</f>
        <v>D</v>
      </c>
      <c r="K250" s="4">
        <f>INDEX(products!$A$1:$G$49,MATCH(orders!$D250,products!$A$1:$A$49,0), MATCH(orders!K$1,  products!$A$1:$G$1,0))</f>
        <v>1</v>
      </c>
      <c r="L250" s="7">
        <f>INDEX(products!$A$1:$G$49,MATCH(orders!$D250,products!$A$1:$A$49,0), MATCH(orders!L$1,  products!$A$1:$G$1,0))</f>
        <v>9.9499999999999993</v>
      </c>
      <c r="M250" s="7">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 MATCH(orders!I$1,  products!$A$1:$G$1,0))</f>
        <v>Lib</v>
      </c>
      <c r="J251" t="str">
        <f>INDEX(products!$A$1:$G$49,MATCH(orders!$D251,products!$A$1:$A$49,0), MATCH(orders!J$1,  products!$A$1:$G$1,0))</f>
        <v>L</v>
      </c>
      <c r="K251" s="4">
        <f>INDEX(products!$A$1:$G$49,MATCH(orders!$D251,products!$A$1:$A$49,0), MATCH(orders!K$1,  products!$A$1:$G$1,0))</f>
        <v>1</v>
      </c>
      <c r="L251" s="7">
        <f>INDEX(products!$A$1:$G$49,MATCH(orders!$D251,products!$A$1:$A$49,0), MATCH(orders!L$1,  products!$A$1:$G$1,0))</f>
        <v>15.85</v>
      </c>
      <c r="M251" s="7">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 MATCH(orders!I$1,  products!$A$1:$G$1,0))</f>
        <v>Rob</v>
      </c>
      <c r="J252" t="str">
        <f>INDEX(products!$A$1:$G$49,MATCH(orders!$D252,products!$A$1:$A$49,0), MATCH(orders!J$1,  products!$A$1:$G$1,0))</f>
        <v>M</v>
      </c>
      <c r="K252" s="4">
        <f>INDEX(products!$A$1:$G$49,MATCH(orders!$D252,products!$A$1:$A$49,0), MATCH(orders!K$1,  products!$A$1:$G$1,0))</f>
        <v>0.2</v>
      </c>
      <c r="L252" s="7">
        <f>INDEX(products!$A$1:$G$49,MATCH(orders!$D252,products!$A$1:$A$49,0), MATCH(orders!L$1,  products!$A$1:$G$1,0))</f>
        <v>2.9849999999999999</v>
      </c>
      <c r="M252" s="7">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 MATCH(orders!I$1,  products!$A$1:$G$1,0))</f>
        <v>Exc</v>
      </c>
      <c r="J253" t="str">
        <f>INDEX(products!$A$1:$G$49,MATCH(orders!$D253,products!$A$1:$A$49,0), MATCH(orders!J$1,  products!$A$1:$G$1,0))</f>
        <v>M</v>
      </c>
      <c r="K253" s="4">
        <f>INDEX(products!$A$1:$G$49,MATCH(orders!$D253,products!$A$1:$A$49,0), MATCH(orders!K$1,  products!$A$1:$G$1,0))</f>
        <v>1</v>
      </c>
      <c r="L253" s="7">
        <f>INDEX(products!$A$1:$G$49,MATCH(orders!$D253,products!$A$1:$A$49,0), MATCH(orders!L$1,  products!$A$1:$G$1,0))</f>
        <v>13.75</v>
      </c>
      <c r="M253" s="7">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 MATCH(orders!I$1,  products!$A$1:$G$1,0))</f>
        <v>Ara</v>
      </c>
      <c r="J254" t="str">
        <f>INDEX(products!$A$1:$G$49,MATCH(orders!$D254,products!$A$1:$A$49,0), MATCH(orders!J$1,  products!$A$1:$G$1,0))</f>
        <v>D</v>
      </c>
      <c r="K254" s="4">
        <f>INDEX(products!$A$1:$G$49,MATCH(orders!$D254,products!$A$1:$A$49,0), MATCH(orders!K$1,  products!$A$1:$G$1,0))</f>
        <v>1</v>
      </c>
      <c r="L254" s="7">
        <f>INDEX(products!$A$1:$G$49,MATCH(orders!$D254,products!$A$1:$A$49,0), MATCH(orders!L$1,  products!$A$1:$G$1,0))</f>
        <v>9.9499999999999993</v>
      </c>
      <c r="M254" s="7">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 MATCH(orders!I$1,  products!$A$1:$G$1,0))</f>
        <v>Lib</v>
      </c>
      <c r="J255" t="str">
        <f>INDEX(products!$A$1:$G$49,MATCH(orders!$D255,products!$A$1:$A$49,0), MATCH(orders!J$1,  products!$A$1:$G$1,0))</f>
        <v>M</v>
      </c>
      <c r="K255" s="4">
        <f>INDEX(products!$A$1:$G$49,MATCH(orders!$D255,products!$A$1:$A$49,0), MATCH(orders!K$1,  products!$A$1:$G$1,0))</f>
        <v>1</v>
      </c>
      <c r="L255" s="7">
        <f>INDEX(products!$A$1:$G$49,MATCH(orders!$D255,products!$A$1:$A$49,0), MATCH(orders!L$1,  products!$A$1:$G$1,0))</f>
        <v>14.55</v>
      </c>
      <c r="M255" s="7">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 MATCH(orders!I$1,  products!$A$1:$G$1,0))</f>
        <v>Rob</v>
      </c>
      <c r="J256" t="str">
        <f>INDEX(products!$A$1:$G$49,MATCH(orders!$D256,products!$A$1:$A$49,0), MATCH(orders!J$1,  products!$A$1:$G$1,0))</f>
        <v>L</v>
      </c>
      <c r="K256" s="4">
        <f>INDEX(products!$A$1:$G$49,MATCH(orders!$D256,products!$A$1:$A$49,0), MATCH(orders!K$1,  products!$A$1:$G$1,0))</f>
        <v>0.5</v>
      </c>
      <c r="L256" s="7">
        <f>INDEX(products!$A$1:$G$49,MATCH(orders!$D256,products!$A$1:$A$49,0), MATCH(orders!L$1,  products!$A$1:$G$1,0))</f>
        <v>7.169999999999999</v>
      </c>
      <c r="M256" s="7">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 MATCH(orders!I$1,  products!$A$1:$G$1,0))</f>
        <v>Rob</v>
      </c>
      <c r="J257" t="str">
        <f>INDEX(products!$A$1:$G$49,MATCH(orders!$D257,products!$A$1:$A$49,0), MATCH(orders!J$1,  products!$A$1:$G$1,0))</f>
        <v>L</v>
      </c>
      <c r="K257" s="4">
        <f>INDEX(products!$A$1:$G$49,MATCH(orders!$D257,products!$A$1:$A$49,0), MATCH(orders!K$1,  products!$A$1:$G$1,0))</f>
        <v>0.5</v>
      </c>
      <c r="L257" s="7">
        <f>INDEX(products!$A$1:$G$49,MATCH(orders!$D257,products!$A$1:$A$49,0), MATCH(orders!L$1,  products!$A$1:$G$1,0))</f>
        <v>7.169999999999999</v>
      </c>
      <c r="M257" s="7">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 MATCH(orders!I$1,  products!$A$1:$G$1,0))</f>
        <v>Lib</v>
      </c>
      <c r="J258" t="str">
        <f>INDEX(products!$A$1:$G$49,MATCH(orders!$D258,products!$A$1:$A$49,0), MATCH(orders!J$1,  products!$A$1:$G$1,0))</f>
        <v>M</v>
      </c>
      <c r="K258" s="4">
        <f>INDEX(products!$A$1:$G$49,MATCH(orders!$D258,products!$A$1:$A$49,0), MATCH(orders!K$1,  products!$A$1:$G$1,0))</f>
        <v>0.5</v>
      </c>
      <c r="L258" s="7">
        <f>INDEX(products!$A$1:$G$49,MATCH(orders!$D258,products!$A$1:$A$49,0), MATCH(orders!L$1,  products!$A$1:$G$1,0))</f>
        <v>8.73</v>
      </c>
      <c r="M258" s="7">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 MATCH(orders!I$1,  products!$A$1:$G$1,0))</f>
        <v>Exc</v>
      </c>
      <c r="J259" t="str">
        <f>INDEX(products!$A$1:$G$49,MATCH(orders!$D259,products!$A$1:$A$49,0), MATCH(orders!J$1,  products!$A$1:$G$1,0))</f>
        <v>D</v>
      </c>
      <c r="K259" s="4">
        <f>INDEX(products!$A$1:$G$49,MATCH(orders!$D259,products!$A$1:$A$49,0), MATCH(orders!K$1,  products!$A$1:$G$1,0))</f>
        <v>2.5</v>
      </c>
      <c r="L259" s="7">
        <f>INDEX(products!$A$1:$G$49,MATCH(orders!$D259,products!$A$1:$A$49,0), MATCH(orders!L$1,  products!$A$1:$G$1,0))</f>
        <v>27.945</v>
      </c>
      <c r="M259" s="7">
        <f t="shared" ref="M259:M322" si="12">L259*E259</f>
        <v>27.945</v>
      </c>
      <c r="N259" t="str">
        <f t="shared" ref="N259:N322" si="13">IF(I259="Rob","Robusta", IF(I259="Exc","Excelsa", IF(I259="Ara", "Arabica", IF(I259="Lib", "Liberica", ""))))</f>
        <v>Excelsa</v>
      </c>
      <c r="O259" t="str">
        <f t="shared" ref="O259:O322" si="14">IF(J259="M", "Medium", IF(J259="L", "Light",IF(J259="D","Dark","")))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 MATCH(orders!I$1,  products!$A$1:$G$1,0))</f>
        <v>Exc</v>
      </c>
      <c r="J260" t="str">
        <f>INDEX(products!$A$1:$G$49,MATCH(orders!$D260,products!$A$1:$A$49,0), MATCH(orders!J$1,  products!$A$1:$G$1,0))</f>
        <v>D</v>
      </c>
      <c r="K260" s="4">
        <f>INDEX(products!$A$1:$G$49,MATCH(orders!$D260,products!$A$1:$A$49,0), MATCH(orders!K$1,  products!$A$1:$G$1,0))</f>
        <v>2.5</v>
      </c>
      <c r="L260" s="7">
        <f>INDEX(products!$A$1:$G$49,MATCH(orders!$D260,products!$A$1:$A$49,0), MATCH(orders!L$1,  products!$A$1:$G$1,0))</f>
        <v>27.945</v>
      </c>
      <c r="M260" s="7">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 MATCH(orders!I$1,  products!$A$1:$G$1,0))</f>
        <v>Rob</v>
      </c>
      <c r="J261" t="str">
        <f>INDEX(products!$A$1:$G$49,MATCH(orders!$D261,products!$A$1:$A$49,0), MATCH(orders!J$1,  products!$A$1:$G$1,0))</f>
        <v>M</v>
      </c>
      <c r="K261" s="4">
        <f>INDEX(products!$A$1:$G$49,MATCH(orders!$D261,products!$A$1:$A$49,0), MATCH(orders!K$1,  products!$A$1:$G$1,0))</f>
        <v>0.2</v>
      </c>
      <c r="L261" s="7">
        <f>INDEX(products!$A$1:$G$49,MATCH(orders!$D261,products!$A$1:$A$49,0), MATCH(orders!L$1,  products!$A$1:$G$1,0))</f>
        <v>2.9849999999999999</v>
      </c>
      <c r="M261" s="7">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 MATCH(orders!I$1,  products!$A$1:$G$1,0))</f>
        <v>Rob</v>
      </c>
      <c r="J262" t="str">
        <f>INDEX(products!$A$1:$G$49,MATCH(orders!$D262,products!$A$1:$A$49,0), MATCH(orders!J$1,  products!$A$1:$G$1,0))</f>
        <v>L</v>
      </c>
      <c r="K262" s="4">
        <f>INDEX(products!$A$1:$G$49,MATCH(orders!$D262,products!$A$1:$A$49,0), MATCH(orders!K$1,  products!$A$1:$G$1,0))</f>
        <v>2.5</v>
      </c>
      <c r="L262" s="7">
        <f>INDEX(products!$A$1:$G$49,MATCH(orders!$D262,products!$A$1:$A$49,0), MATCH(orders!L$1,  products!$A$1:$G$1,0))</f>
        <v>27.484999999999996</v>
      </c>
      <c r="M262" s="7">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 MATCH(orders!I$1,  products!$A$1:$G$1,0))</f>
        <v>Rob</v>
      </c>
      <c r="J263" t="str">
        <f>INDEX(products!$A$1:$G$49,MATCH(orders!$D263,products!$A$1:$A$49,0), MATCH(orders!J$1,  products!$A$1:$G$1,0))</f>
        <v>L</v>
      </c>
      <c r="K263" s="4">
        <f>INDEX(products!$A$1:$G$49,MATCH(orders!$D263,products!$A$1:$A$49,0), MATCH(orders!K$1,  products!$A$1:$G$1,0))</f>
        <v>1</v>
      </c>
      <c r="L263" s="7">
        <f>INDEX(products!$A$1:$G$49,MATCH(orders!$D263,products!$A$1:$A$49,0), MATCH(orders!L$1,  products!$A$1:$G$1,0))</f>
        <v>11.95</v>
      </c>
      <c r="M263" s="7">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 MATCH(orders!I$1,  products!$A$1:$G$1,0))</f>
        <v>Exc</v>
      </c>
      <c r="J264" t="str">
        <f>INDEX(products!$A$1:$G$49,MATCH(orders!$D264,products!$A$1:$A$49,0), MATCH(orders!J$1,  products!$A$1:$G$1,0))</f>
        <v>M</v>
      </c>
      <c r="K264" s="4">
        <f>INDEX(products!$A$1:$G$49,MATCH(orders!$D264,products!$A$1:$A$49,0), MATCH(orders!K$1,  products!$A$1:$G$1,0))</f>
        <v>1</v>
      </c>
      <c r="L264" s="7">
        <f>INDEX(products!$A$1:$G$49,MATCH(orders!$D264,products!$A$1:$A$49,0), MATCH(orders!L$1,  products!$A$1:$G$1,0))</f>
        <v>13.75</v>
      </c>
      <c r="M264" s="7">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 MATCH(orders!I$1,  products!$A$1:$G$1,0))</f>
        <v>Lib</v>
      </c>
      <c r="J265" t="str">
        <f>INDEX(products!$A$1:$G$49,MATCH(orders!$D265,products!$A$1:$A$49,0), MATCH(orders!J$1,  products!$A$1:$G$1,0))</f>
        <v>M</v>
      </c>
      <c r="K265" s="4">
        <f>INDEX(products!$A$1:$G$49,MATCH(orders!$D265,products!$A$1:$A$49,0), MATCH(orders!K$1,  products!$A$1:$G$1,0))</f>
        <v>2.5</v>
      </c>
      <c r="L265" s="7">
        <f>INDEX(products!$A$1:$G$49,MATCH(orders!$D265,products!$A$1:$A$49,0), MATCH(orders!L$1,  products!$A$1:$G$1,0))</f>
        <v>33.464999999999996</v>
      </c>
      <c r="M265" s="7">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 MATCH(orders!I$1,  products!$A$1:$G$1,0))</f>
        <v>Rob</v>
      </c>
      <c r="J266" t="str">
        <f>INDEX(products!$A$1:$G$49,MATCH(orders!$D266,products!$A$1:$A$49,0), MATCH(orders!J$1,  products!$A$1:$G$1,0))</f>
        <v>L</v>
      </c>
      <c r="K266" s="4">
        <f>INDEX(products!$A$1:$G$49,MATCH(orders!$D266,products!$A$1:$A$49,0), MATCH(orders!K$1,  products!$A$1:$G$1,0))</f>
        <v>1</v>
      </c>
      <c r="L266" s="7">
        <f>INDEX(products!$A$1:$G$49,MATCH(orders!$D266,products!$A$1:$A$49,0), MATCH(orders!L$1,  products!$A$1:$G$1,0))</f>
        <v>11.95</v>
      </c>
      <c r="M266" s="7">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 MATCH(orders!I$1,  products!$A$1:$G$1,0))</f>
        <v>Ara</v>
      </c>
      <c r="J267" t="str">
        <f>INDEX(products!$A$1:$G$49,MATCH(orders!$D267,products!$A$1:$A$49,0), MATCH(orders!J$1,  products!$A$1:$G$1,0))</f>
        <v>D</v>
      </c>
      <c r="K267" s="4">
        <f>INDEX(products!$A$1:$G$49,MATCH(orders!$D267,products!$A$1:$A$49,0), MATCH(orders!K$1,  products!$A$1:$G$1,0))</f>
        <v>0.5</v>
      </c>
      <c r="L267" s="7">
        <f>INDEX(products!$A$1:$G$49,MATCH(orders!$D267,products!$A$1:$A$49,0), MATCH(orders!L$1,  products!$A$1:$G$1,0))</f>
        <v>5.97</v>
      </c>
      <c r="M267" s="7">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 MATCH(orders!I$1,  products!$A$1:$G$1,0))</f>
        <v>Exc</v>
      </c>
      <c r="J268" t="str">
        <f>INDEX(products!$A$1:$G$49,MATCH(orders!$D268,products!$A$1:$A$49,0), MATCH(orders!J$1,  products!$A$1:$G$1,0))</f>
        <v>D</v>
      </c>
      <c r="K268" s="4">
        <f>INDEX(products!$A$1:$G$49,MATCH(orders!$D268,products!$A$1:$A$49,0), MATCH(orders!K$1,  products!$A$1:$G$1,0))</f>
        <v>1</v>
      </c>
      <c r="L268" s="7">
        <f>INDEX(products!$A$1:$G$49,MATCH(orders!$D268,products!$A$1:$A$49,0), MATCH(orders!L$1,  products!$A$1:$G$1,0))</f>
        <v>12.15</v>
      </c>
      <c r="M268" s="7">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 MATCH(orders!I$1,  products!$A$1:$G$1,0))</f>
        <v>Exc</v>
      </c>
      <c r="J269" t="str">
        <f>INDEX(products!$A$1:$G$49,MATCH(orders!$D269,products!$A$1:$A$49,0), MATCH(orders!J$1,  products!$A$1:$G$1,0))</f>
        <v>D</v>
      </c>
      <c r="K269" s="4">
        <f>INDEX(products!$A$1:$G$49,MATCH(orders!$D269,products!$A$1:$A$49,0), MATCH(orders!K$1,  products!$A$1:$G$1,0))</f>
        <v>0.2</v>
      </c>
      <c r="L269" s="7">
        <f>INDEX(products!$A$1:$G$49,MATCH(orders!$D269,products!$A$1:$A$49,0), MATCH(orders!L$1,  products!$A$1:$G$1,0))</f>
        <v>3.645</v>
      </c>
      <c r="M269" s="7">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 MATCH(orders!I$1,  products!$A$1:$G$1,0))</f>
        <v>Ara</v>
      </c>
      <c r="J270" t="str">
        <f>INDEX(products!$A$1:$G$49,MATCH(orders!$D270,products!$A$1:$A$49,0), MATCH(orders!J$1,  products!$A$1:$G$1,0))</f>
        <v>D</v>
      </c>
      <c r="K270" s="4">
        <f>INDEX(products!$A$1:$G$49,MATCH(orders!$D270,products!$A$1:$A$49,0), MATCH(orders!K$1,  products!$A$1:$G$1,0))</f>
        <v>1</v>
      </c>
      <c r="L270" s="7">
        <f>INDEX(products!$A$1:$G$49,MATCH(orders!$D270,products!$A$1:$A$49,0), MATCH(orders!L$1,  products!$A$1:$G$1,0))</f>
        <v>9.9499999999999993</v>
      </c>
      <c r="M270" s="7">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 MATCH(orders!I$1,  products!$A$1:$G$1,0))</f>
        <v>Ara</v>
      </c>
      <c r="J271" t="str">
        <f>INDEX(products!$A$1:$G$49,MATCH(orders!$D271,products!$A$1:$A$49,0), MATCH(orders!J$1,  products!$A$1:$G$1,0))</f>
        <v>D</v>
      </c>
      <c r="K271" s="4">
        <f>INDEX(products!$A$1:$G$49,MATCH(orders!$D271,products!$A$1:$A$49,0), MATCH(orders!K$1,  products!$A$1:$G$1,0))</f>
        <v>0.2</v>
      </c>
      <c r="L271" s="7">
        <f>INDEX(products!$A$1:$G$49,MATCH(orders!$D271,products!$A$1:$A$49,0), MATCH(orders!L$1,  products!$A$1:$G$1,0))</f>
        <v>2.9849999999999999</v>
      </c>
      <c r="M271" s="7">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 MATCH(orders!I$1,  products!$A$1:$G$1,0))</f>
        <v>Exc</v>
      </c>
      <c r="J272" t="str">
        <f>INDEX(products!$A$1:$G$49,MATCH(orders!$D272,products!$A$1:$A$49,0), MATCH(orders!J$1,  products!$A$1:$G$1,0))</f>
        <v>D</v>
      </c>
      <c r="K272" s="4">
        <f>INDEX(products!$A$1:$G$49,MATCH(orders!$D272,products!$A$1:$A$49,0), MATCH(orders!K$1,  products!$A$1:$G$1,0))</f>
        <v>0.5</v>
      </c>
      <c r="L272" s="7">
        <f>INDEX(products!$A$1:$G$49,MATCH(orders!$D272,products!$A$1:$A$49,0), MATCH(orders!L$1,  products!$A$1:$G$1,0))</f>
        <v>7.29</v>
      </c>
      <c r="M272" s="7">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 MATCH(orders!I$1,  products!$A$1:$G$1,0))</f>
        <v>Ara</v>
      </c>
      <c r="J273" t="str">
        <f>INDEX(products!$A$1:$G$49,MATCH(orders!$D273,products!$A$1:$A$49,0), MATCH(orders!J$1,  products!$A$1:$G$1,0))</f>
        <v>D</v>
      </c>
      <c r="K273" s="4">
        <f>INDEX(products!$A$1:$G$49,MATCH(orders!$D273,products!$A$1:$A$49,0), MATCH(orders!K$1,  products!$A$1:$G$1,0))</f>
        <v>0.2</v>
      </c>
      <c r="L273" s="7">
        <f>INDEX(products!$A$1:$G$49,MATCH(orders!$D273,products!$A$1:$A$49,0), MATCH(orders!L$1,  products!$A$1:$G$1,0))</f>
        <v>2.9849999999999999</v>
      </c>
      <c r="M273" s="7">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 MATCH(orders!I$1,  products!$A$1:$G$1,0))</f>
        <v>Rob</v>
      </c>
      <c r="J274" t="str">
        <f>INDEX(products!$A$1:$G$49,MATCH(orders!$D274,products!$A$1:$A$49,0), MATCH(orders!J$1,  products!$A$1:$G$1,0))</f>
        <v>L</v>
      </c>
      <c r="K274" s="4">
        <f>INDEX(products!$A$1:$G$49,MATCH(orders!$D274,products!$A$1:$A$49,0), MATCH(orders!K$1,  products!$A$1:$G$1,0))</f>
        <v>1</v>
      </c>
      <c r="L274" s="7">
        <f>INDEX(products!$A$1:$G$49,MATCH(orders!$D274,products!$A$1:$A$49,0), MATCH(orders!L$1,  products!$A$1:$G$1,0))</f>
        <v>11.95</v>
      </c>
      <c r="M274" s="7">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 MATCH(orders!I$1,  products!$A$1:$G$1,0))</f>
        <v>Ara</v>
      </c>
      <c r="J275" t="str">
        <f>INDEX(products!$A$1:$G$49,MATCH(orders!$D275,products!$A$1:$A$49,0), MATCH(orders!J$1,  products!$A$1:$G$1,0))</f>
        <v>L</v>
      </c>
      <c r="K275" s="4">
        <f>INDEX(products!$A$1:$G$49,MATCH(orders!$D275,products!$A$1:$A$49,0), MATCH(orders!K$1,  products!$A$1:$G$1,0))</f>
        <v>0.2</v>
      </c>
      <c r="L275" s="7">
        <f>INDEX(products!$A$1:$G$49,MATCH(orders!$D275,products!$A$1:$A$49,0), MATCH(orders!L$1,  products!$A$1:$G$1,0))</f>
        <v>3.8849999999999998</v>
      </c>
      <c r="M275" s="7">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 MATCH(orders!I$1,  products!$A$1:$G$1,0))</f>
        <v>Ara</v>
      </c>
      <c r="J276" t="str">
        <f>INDEX(products!$A$1:$G$49,MATCH(orders!$D276,products!$A$1:$A$49,0), MATCH(orders!J$1,  products!$A$1:$G$1,0))</f>
        <v>M</v>
      </c>
      <c r="K276" s="4">
        <f>INDEX(products!$A$1:$G$49,MATCH(orders!$D276,products!$A$1:$A$49,0), MATCH(orders!K$1,  products!$A$1:$G$1,0))</f>
        <v>2.5</v>
      </c>
      <c r="L276" s="7">
        <f>INDEX(products!$A$1:$G$49,MATCH(orders!$D276,products!$A$1:$A$49,0), MATCH(orders!L$1,  products!$A$1:$G$1,0))</f>
        <v>25.874999999999996</v>
      </c>
      <c r="M276" s="7">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 MATCH(orders!I$1,  products!$A$1:$G$1,0))</f>
        <v>Exc</v>
      </c>
      <c r="J277" t="str">
        <f>INDEX(products!$A$1:$G$49,MATCH(orders!$D277,products!$A$1:$A$49,0), MATCH(orders!J$1,  products!$A$1:$G$1,0))</f>
        <v>L</v>
      </c>
      <c r="K277" s="4">
        <f>INDEX(products!$A$1:$G$49,MATCH(orders!$D277,products!$A$1:$A$49,0), MATCH(orders!K$1,  products!$A$1:$G$1,0))</f>
        <v>2.5</v>
      </c>
      <c r="L277" s="7">
        <f>INDEX(products!$A$1:$G$49,MATCH(orders!$D277,products!$A$1:$A$49,0), MATCH(orders!L$1,  products!$A$1:$G$1,0))</f>
        <v>34.154999999999994</v>
      </c>
      <c r="M277" s="7">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 MATCH(orders!I$1,  products!$A$1:$G$1,0))</f>
        <v>Rob</v>
      </c>
      <c r="J278" t="str">
        <f>INDEX(products!$A$1:$G$49,MATCH(orders!$D278,products!$A$1:$A$49,0), MATCH(orders!J$1,  products!$A$1:$G$1,0))</f>
        <v>L</v>
      </c>
      <c r="K278" s="4">
        <f>INDEX(products!$A$1:$G$49,MATCH(orders!$D278,products!$A$1:$A$49,0), MATCH(orders!K$1,  products!$A$1:$G$1,0))</f>
        <v>2.5</v>
      </c>
      <c r="L278" s="7">
        <f>INDEX(products!$A$1:$G$49,MATCH(orders!$D278,products!$A$1:$A$49,0), MATCH(orders!L$1,  products!$A$1:$G$1,0))</f>
        <v>27.484999999999996</v>
      </c>
      <c r="M278" s="7">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 MATCH(orders!I$1,  products!$A$1:$G$1,0))</f>
        <v>Exc</v>
      </c>
      <c r="J279" t="str">
        <f>INDEX(products!$A$1:$G$49,MATCH(orders!$D279,products!$A$1:$A$49,0), MATCH(orders!J$1,  products!$A$1:$G$1,0))</f>
        <v>L</v>
      </c>
      <c r="K279" s="4">
        <f>INDEX(products!$A$1:$G$49,MATCH(orders!$D279,products!$A$1:$A$49,0), MATCH(orders!K$1,  products!$A$1:$G$1,0))</f>
        <v>1</v>
      </c>
      <c r="L279" s="7">
        <f>INDEX(products!$A$1:$G$49,MATCH(orders!$D279,products!$A$1:$A$49,0), MATCH(orders!L$1,  products!$A$1:$G$1,0))</f>
        <v>14.85</v>
      </c>
      <c r="M279" s="7">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 MATCH(orders!I$1,  products!$A$1:$G$1,0))</f>
        <v>Ara</v>
      </c>
      <c r="J280" t="str">
        <f>INDEX(products!$A$1:$G$49,MATCH(orders!$D280,products!$A$1:$A$49,0), MATCH(orders!J$1,  products!$A$1:$G$1,0))</f>
        <v>L</v>
      </c>
      <c r="K280" s="4">
        <f>INDEX(products!$A$1:$G$49,MATCH(orders!$D280,products!$A$1:$A$49,0), MATCH(orders!K$1,  products!$A$1:$G$1,0))</f>
        <v>0.2</v>
      </c>
      <c r="L280" s="7">
        <f>INDEX(products!$A$1:$G$49,MATCH(orders!$D280,products!$A$1:$A$49,0), MATCH(orders!L$1,  products!$A$1:$G$1,0))</f>
        <v>3.8849999999999998</v>
      </c>
      <c r="M280" s="7">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 MATCH(orders!I$1,  products!$A$1:$G$1,0))</f>
        <v>Lib</v>
      </c>
      <c r="J281" t="str">
        <f>INDEX(products!$A$1:$G$49,MATCH(orders!$D281,products!$A$1:$A$49,0), MATCH(orders!J$1,  products!$A$1:$G$1,0))</f>
        <v>M</v>
      </c>
      <c r="K281" s="4">
        <f>INDEX(products!$A$1:$G$49,MATCH(orders!$D281,products!$A$1:$A$49,0), MATCH(orders!K$1,  products!$A$1:$G$1,0))</f>
        <v>2.5</v>
      </c>
      <c r="L281" s="7">
        <f>INDEX(products!$A$1:$G$49,MATCH(orders!$D281,products!$A$1:$A$49,0), MATCH(orders!L$1,  products!$A$1:$G$1,0))</f>
        <v>33.464999999999996</v>
      </c>
      <c r="M281" s="7">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 MATCH(orders!I$1,  products!$A$1:$G$1,0))</f>
        <v>Exc</v>
      </c>
      <c r="J282" t="str">
        <f>INDEX(products!$A$1:$G$49,MATCH(orders!$D282,products!$A$1:$A$49,0), MATCH(orders!J$1,  products!$A$1:$G$1,0))</f>
        <v>M</v>
      </c>
      <c r="K282" s="4">
        <f>INDEX(products!$A$1:$G$49,MATCH(orders!$D282,products!$A$1:$A$49,0), MATCH(orders!K$1,  products!$A$1:$G$1,0))</f>
        <v>0.5</v>
      </c>
      <c r="L282" s="7">
        <f>INDEX(products!$A$1:$G$49,MATCH(orders!$D282,products!$A$1:$A$49,0), MATCH(orders!L$1,  products!$A$1:$G$1,0))</f>
        <v>8.25</v>
      </c>
      <c r="M282" s="7">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 MATCH(orders!I$1,  products!$A$1:$G$1,0))</f>
        <v>Exc</v>
      </c>
      <c r="J283" t="str">
        <f>INDEX(products!$A$1:$G$49,MATCH(orders!$D283,products!$A$1:$A$49,0), MATCH(orders!J$1,  products!$A$1:$G$1,0))</f>
        <v>L</v>
      </c>
      <c r="K283" s="4">
        <f>INDEX(products!$A$1:$G$49,MATCH(orders!$D283,products!$A$1:$A$49,0), MATCH(orders!K$1,  products!$A$1:$G$1,0))</f>
        <v>1</v>
      </c>
      <c r="L283" s="7">
        <f>INDEX(products!$A$1:$G$49,MATCH(orders!$D283,products!$A$1:$A$49,0), MATCH(orders!L$1,  products!$A$1:$G$1,0))</f>
        <v>14.85</v>
      </c>
      <c r="M283" s="7">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 MATCH(orders!I$1,  products!$A$1:$G$1,0))</f>
        <v>Ara</v>
      </c>
      <c r="J284" t="str">
        <f>INDEX(products!$A$1:$G$49,MATCH(orders!$D284,products!$A$1:$A$49,0), MATCH(orders!J$1,  products!$A$1:$G$1,0))</f>
        <v>L</v>
      </c>
      <c r="K284" s="4">
        <f>INDEX(products!$A$1:$G$49,MATCH(orders!$D284,products!$A$1:$A$49,0), MATCH(orders!K$1,  products!$A$1:$G$1,0))</f>
        <v>0.5</v>
      </c>
      <c r="L284" s="7">
        <f>INDEX(products!$A$1:$G$49,MATCH(orders!$D284,products!$A$1:$A$49,0), MATCH(orders!L$1,  products!$A$1:$G$1,0))</f>
        <v>7.77</v>
      </c>
      <c r="M284" s="7">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 MATCH(orders!I$1,  products!$A$1:$G$1,0))</f>
        <v>Rob</v>
      </c>
      <c r="J285" t="str">
        <f>INDEX(products!$A$1:$G$49,MATCH(orders!$D285,products!$A$1:$A$49,0), MATCH(orders!J$1,  products!$A$1:$G$1,0))</f>
        <v>D</v>
      </c>
      <c r="K285" s="4">
        <f>INDEX(products!$A$1:$G$49,MATCH(orders!$D285,products!$A$1:$A$49,0), MATCH(orders!K$1,  products!$A$1:$G$1,0))</f>
        <v>0.5</v>
      </c>
      <c r="L285" s="7">
        <f>INDEX(products!$A$1:$G$49,MATCH(orders!$D285,products!$A$1:$A$49,0), MATCH(orders!L$1,  products!$A$1:$G$1,0))</f>
        <v>5.3699999999999992</v>
      </c>
      <c r="M285" s="7">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 MATCH(orders!I$1,  products!$A$1:$G$1,0))</f>
        <v>Exc</v>
      </c>
      <c r="J286" t="str">
        <f>INDEX(products!$A$1:$G$49,MATCH(orders!$D286,products!$A$1:$A$49,0), MATCH(orders!J$1,  products!$A$1:$G$1,0))</f>
        <v>M</v>
      </c>
      <c r="K286" s="4">
        <f>INDEX(products!$A$1:$G$49,MATCH(orders!$D286,products!$A$1:$A$49,0), MATCH(orders!K$1,  products!$A$1:$G$1,0))</f>
        <v>2.5</v>
      </c>
      <c r="L286" s="7">
        <f>INDEX(products!$A$1:$G$49,MATCH(orders!$D286,products!$A$1:$A$49,0), MATCH(orders!L$1,  products!$A$1:$G$1,0))</f>
        <v>31.624999999999996</v>
      </c>
      <c r="M286" s="7">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 MATCH(orders!I$1,  products!$A$1:$G$1,0))</f>
        <v>Lib</v>
      </c>
      <c r="J287" t="str">
        <f>INDEX(products!$A$1:$G$49,MATCH(orders!$D287,products!$A$1:$A$49,0), MATCH(orders!J$1,  products!$A$1:$G$1,0))</f>
        <v>L</v>
      </c>
      <c r="K287" s="4">
        <f>INDEX(products!$A$1:$G$49,MATCH(orders!$D287,products!$A$1:$A$49,0), MATCH(orders!K$1,  products!$A$1:$G$1,0))</f>
        <v>2.5</v>
      </c>
      <c r="L287" s="7">
        <f>INDEX(products!$A$1:$G$49,MATCH(orders!$D287,products!$A$1:$A$49,0), MATCH(orders!L$1,  products!$A$1:$G$1,0))</f>
        <v>36.454999999999998</v>
      </c>
      <c r="M287" s="7">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 MATCH(orders!I$1,  products!$A$1:$G$1,0))</f>
        <v>Ara</v>
      </c>
      <c r="J288" t="str">
        <f>INDEX(products!$A$1:$G$49,MATCH(orders!$D288,products!$A$1:$A$49,0), MATCH(orders!J$1,  products!$A$1:$G$1,0))</f>
        <v>M</v>
      </c>
      <c r="K288" s="4">
        <f>INDEX(products!$A$1:$G$49,MATCH(orders!$D288,products!$A$1:$A$49,0), MATCH(orders!K$1,  products!$A$1:$G$1,0))</f>
        <v>0.2</v>
      </c>
      <c r="L288" s="7">
        <f>INDEX(products!$A$1:$G$49,MATCH(orders!$D288,products!$A$1:$A$49,0), MATCH(orders!L$1,  products!$A$1:$G$1,0))</f>
        <v>3.375</v>
      </c>
      <c r="M288" s="7">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 MATCH(orders!I$1,  products!$A$1:$G$1,0))</f>
        <v>Rob</v>
      </c>
      <c r="J289" t="str">
        <f>INDEX(products!$A$1:$G$49,MATCH(orders!$D289,products!$A$1:$A$49,0), MATCH(orders!J$1,  products!$A$1:$G$1,0))</f>
        <v>L</v>
      </c>
      <c r="K289" s="4">
        <f>INDEX(products!$A$1:$G$49,MATCH(orders!$D289,products!$A$1:$A$49,0), MATCH(orders!K$1,  products!$A$1:$G$1,0))</f>
        <v>0.2</v>
      </c>
      <c r="L289" s="7">
        <f>INDEX(products!$A$1:$G$49,MATCH(orders!$D289,products!$A$1:$A$49,0), MATCH(orders!L$1,  products!$A$1:$G$1,0))</f>
        <v>3.5849999999999995</v>
      </c>
      <c r="M289" s="7">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 MATCH(orders!I$1,  products!$A$1:$G$1,0))</f>
        <v>Exc</v>
      </c>
      <c r="J290" t="str">
        <f>INDEX(products!$A$1:$G$49,MATCH(orders!$D290,products!$A$1:$A$49,0), MATCH(orders!J$1,  products!$A$1:$G$1,0))</f>
        <v>M</v>
      </c>
      <c r="K290" s="4">
        <f>INDEX(products!$A$1:$G$49,MATCH(orders!$D290,products!$A$1:$A$49,0), MATCH(orders!K$1,  products!$A$1:$G$1,0))</f>
        <v>0.5</v>
      </c>
      <c r="L290" s="7">
        <f>INDEX(products!$A$1:$G$49,MATCH(orders!$D290,products!$A$1:$A$49,0), MATCH(orders!L$1,  products!$A$1:$G$1,0))</f>
        <v>8.25</v>
      </c>
      <c r="M290" s="7">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 MATCH(orders!I$1,  products!$A$1:$G$1,0))</f>
        <v>Rob</v>
      </c>
      <c r="J291" t="str">
        <f>INDEX(products!$A$1:$G$49,MATCH(orders!$D291,products!$A$1:$A$49,0), MATCH(orders!J$1,  products!$A$1:$G$1,0))</f>
        <v>D</v>
      </c>
      <c r="K291" s="4">
        <f>INDEX(products!$A$1:$G$49,MATCH(orders!$D291,products!$A$1:$A$49,0), MATCH(orders!K$1,  products!$A$1:$G$1,0))</f>
        <v>0.2</v>
      </c>
      <c r="L291" s="7">
        <f>INDEX(products!$A$1:$G$49,MATCH(orders!$D291,products!$A$1:$A$49,0), MATCH(orders!L$1,  products!$A$1:$G$1,0))</f>
        <v>2.6849999999999996</v>
      </c>
      <c r="M291" s="7">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 MATCH(orders!I$1,  products!$A$1:$G$1,0))</f>
        <v>Ara</v>
      </c>
      <c r="J292" t="str">
        <f>INDEX(products!$A$1:$G$49,MATCH(orders!$D292,products!$A$1:$A$49,0), MATCH(orders!J$1,  products!$A$1:$G$1,0))</f>
        <v>D</v>
      </c>
      <c r="K292" s="4">
        <f>INDEX(products!$A$1:$G$49,MATCH(orders!$D292,products!$A$1:$A$49,0), MATCH(orders!K$1,  products!$A$1:$G$1,0))</f>
        <v>1</v>
      </c>
      <c r="L292" s="7">
        <f>INDEX(products!$A$1:$G$49,MATCH(orders!$D292,products!$A$1:$A$49,0), MATCH(orders!L$1,  products!$A$1:$G$1,0))</f>
        <v>9.9499999999999993</v>
      </c>
      <c r="M292" s="7">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 MATCH(orders!I$1,  products!$A$1:$G$1,0))</f>
        <v>Exc</v>
      </c>
      <c r="J293" t="str">
        <f>INDEX(products!$A$1:$G$49,MATCH(orders!$D293,products!$A$1:$A$49,0), MATCH(orders!J$1,  products!$A$1:$G$1,0))</f>
        <v>M</v>
      </c>
      <c r="K293" s="4">
        <f>INDEX(products!$A$1:$G$49,MATCH(orders!$D293,products!$A$1:$A$49,0), MATCH(orders!K$1,  products!$A$1:$G$1,0))</f>
        <v>0.5</v>
      </c>
      <c r="L293" s="7">
        <f>INDEX(products!$A$1:$G$49,MATCH(orders!$D293,products!$A$1:$A$49,0), MATCH(orders!L$1,  products!$A$1:$G$1,0))</f>
        <v>8.25</v>
      </c>
      <c r="M293" s="7">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 MATCH(orders!I$1,  products!$A$1:$G$1,0))</f>
        <v>Ara</v>
      </c>
      <c r="J294" t="str">
        <f>INDEX(products!$A$1:$G$49,MATCH(orders!$D294,products!$A$1:$A$49,0), MATCH(orders!J$1,  products!$A$1:$G$1,0))</f>
        <v>D</v>
      </c>
      <c r="K294" s="4">
        <f>INDEX(products!$A$1:$G$49,MATCH(orders!$D294,products!$A$1:$A$49,0), MATCH(orders!K$1,  products!$A$1:$G$1,0))</f>
        <v>0.5</v>
      </c>
      <c r="L294" s="7">
        <f>INDEX(products!$A$1:$G$49,MATCH(orders!$D294,products!$A$1:$A$49,0), MATCH(orders!L$1,  products!$A$1:$G$1,0))</f>
        <v>5.97</v>
      </c>
      <c r="M294" s="7">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 MATCH(orders!I$1,  products!$A$1:$G$1,0))</f>
        <v>Ara</v>
      </c>
      <c r="J295" t="str">
        <f>INDEX(products!$A$1:$G$49,MATCH(orders!$D295,products!$A$1:$A$49,0), MATCH(orders!J$1,  products!$A$1:$G$1,0))</f>
        <v>D</v>
      </c>
      <c r="K295" s="4">
        <f>INDEX(products!$A$1:$G$49,MATCH(orders!$D295,products!$A$1:$A$49,0), MATCH(orders!K$1,  products!$A$1:$G$1,0))</f>
        <v>0.5</v>
      </c>
      <c r="L295" s="7">
        <f>INDEX(products!$A$1:$G$49,MATCH(orders!$D295,products!$A$1:$A$49,0), MATCH(orders!L$1,  products!$A$1:$G$1,0))</f>
        <v>5.97</v>
      </c>
      <c r="M295" s="7">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 MATCH(orders!I$1,  products!$A$1:$G$1,0))</f>
        <v>Exc</v>
      </c>
      <c r="J296" t="str">
        <f>INDEX(products!$A$1:$G$49,MATCH(orders!$D296,products!$A$1:$A$49,0), MATCH(orders!J$1,  products!$A$1:$G$1,0))</f>
        <v>L</v>
      </c>
      <c r="K296" s="4">
        <f>INDEX(products!$A$1:$G$49,MATCH(orders!$D296,products!$A$1:$A$49,0), MATCH(orders!K$1,  products!$A$1:$G$1,0))</f>
        <v>1</v>
      </c>
      <c r="L296" s="7">
        <f>INDEX(products!$A$1:$G$49,MATCH(orders!$D296,products!$A$1:$A$49,0), MATCH(orders!L$1,  products!$A$1:$G$1,0))</f>
        <v>14.85</v>
      </c>
      <c r="M296" s="7">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 MATCH(orders!I$1,  products!$A$1:$G$1,0))</f>
        <v>Exc</v>
      </c>
      <c r="J297" t="str">
        <f>INDEX(products!$A$1:$G$49,MATCH(orders!$D297,products!$A$1:$A$49,0), MATCH(orders!J$1,  products!$A$1:$G$1,0))</f>
        <v>M</v>
      </c>
      <c r="K297" s="4">
        <f>INDEX(products!$A$1:$G$49,MATCH(orders!$D297,products!$A$1:$A$49,0), MATCH(orders!K$1,  products!$A$1:$G$1,0))</f>
        <v>1</v>
      </c>
      <c r="L297" s="7">
        <f>INDEX(products!$A$1:$G$49,MATCH(orders!$D297,products!$A$1:$A$49,0), MATCH(orders!L$1,  products!$A$1:$G$1,0))</f>
        <v>13.75</v>
      </c>
      <c r="M297" s="7">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 MATCH(orders!I$1,  products!$A$1:$G$1,0))</f>
        <v>Rob</v>
      </c>
      <c r="J298" t="str">
        <f>INDEX(products!$A$1:$G$49,MATCH(orders!$D298,products!$A$1:$A$49,0), MATCH(orders!J$1,  products!$A$1:$G$1,0))</f>
        <v>M</v>
      </c>
      <c r="K298" s="4">
        <f>INDEX(products!$A$1:$G$49,MATCH(orders!$D298,products!$A$1:$A$49,0), MATCH(orders!K$1,  products!$A$1:$G$1,0))</f>
        <v>0.5</v>
      </c>
      <c r="L298" s="7">
        <f>INDEX(products!$A$1:$G$49,MATCH(orders!$D298,products!$A$1:$A$49,0), MATCH(orders!L$1,  products!$A$1:$G$1,0))</f>
        <v>5.97</v>
      </c>
      <c r="M298" s="7">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 MATCH(orders!I$1,  products!$A$1:$G$1,0))</f>
        <v>Rob</v>
      </c>
      <c r="J299" t="str">
        <f>INDEX(products!$A$1:$G$49,MATCH(orders!$D299,products!$A$1:$A$49,0), MATCH(orders!J$1,  products!$A$1:$G$1,0))</f>
        <v>D</v>
      </c>
      <c r="K299" s="4">
        <f>INDEX(products!$A$1:$G$49,MATCH(orders!$D299,products!$A$1:$A$49,0), MATCH(orders!K$1,  products!$A$1:$G$1,0))</f>
        <v>0.5</v>
      </c>
      <c r="L299" s="7">
        <f>INDEX(products!$A$1:$G$49,MATCH(orders!$D299,products!$A$1:$A$49,0), MATCH(orders!L$1,  products!$A$1:$G$1,0))</f>
        <v>5.3699999999999992</v>
      </c>
      <c r="M299" s="7">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 MATCH(orders!I$1,  products!$A$1:$G$1,0))</f>
        <v>Exc</v>
      </c>
      <c r="J300" t="str">
        <f>INDEX(products!$A$1:$G$49,MATCH(orders!$D300,products!$A$1:$A$49,0), MATCH(orders!J$1,  products!$A$1:$G$1,0))</f>
        <v>L</v>
      </c>
      <c r="K300" s="4">
        <f>INDEX(products!$A$1:$G$49,MATCH(orders!$D300,products!$A$1:$A$49,0), MATCH(orders!K$1,  products!$A$1:$G$1,0))</f>
        <v>0.2</v>
      </c>
      <c r="L300" s="7">
        <f>INDEX(products!$A$1:$G$49,MATCH(orders!$D300,products!$A$1:$A$49,0), MATCH(orders!L$1,  products!$A$1:$G$1,0))</f>
        <v>4.4550000000000001</v>
      </c>
      <c r="M300" s="7">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 MATCH(orders!I$1,  products!$A$1:$G$1,0))</f>
        <v>Exc</v>
      </c>
      <c r="J301" t="str">
        <f>INDEX(products!$A$1:$G$49,MATCH(orders!$D301,products!$A$1:$A$49,0), MATCH(orders!J$1,  products!$A$1:$G$1,0))</f>
        <v>L</v>
      </c>
      <c r="K301" s="4">
        <f>INDEX(products!$A$1:$G$49,MATCH(orders!$D301,products!$A$1:$A$49,0), MATCH(orders!K$1,  products!$A$1:$G$1,0))</f>
        <v>2.5</v>
      </c>
      <c r="L301" s="7">
        <f>INDEX(products!$A$1:$G$49,MATCH(orders!$D301,products!$A$1:$A$49,0), MATCH(orders!L$1,  products!$A$1:$G$1,0))</f>
        <v>34.154999999999994</v>
      </c>
      <c r="M301" s="7">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 MATCH(orders!I$1,  products!$A$1:$G$1,0))</f>
        <v>Ara</v>
      </c>
      <c r="J302" t="str">
        <f>INDEX(products!$A$1:$G$49,MATCH(orders!$D302,products!$A$1:$A$49,0), MATCH(orders!J$1,  products!$A$1:$G$1,0))</f>
        <v>L</v>
      </c>
      <c r="K302" s="4">
        <f>INDEX(products!$A$1:$G$49,MATCH(orders!$D302,products!$A$1:$A$49,0), MATCH(orders!K$1,  products!$A$1:$G$1,0))</f>
        <v>1</v>
      </c>
      <c r="L302" s="7">
        <f>INDEX(products!$A$1:$G$49,MATCH(orders!$D302,products!$A$1:$A$49,0), MATCH(orders!L$1,  products!$A$1:$G$1,0))</f>
        <v>12.95</v>
      </c>
      <c r="M302" s="7">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 MATCH(orders!I$1,  products!$A$1:$G$1,0))</f>
        <v>Lib</v>
      </c>
      <c r="J303" t="str">
        <f>INDEX(products!$A$1:$G$49,MATCH(orders!$D303,products!$A$1:$A$49,0), MATCH(orders!J$1,  products!$A$1:$G$1,0))</f>
        <v>D</v>
      </c>
      <c r="K303" s="4">
        <f>INDEX(products!$A$1:$G$49,MATCH(orders!$D303,products!$A$1:$A$49,0), MATCH(orders!K$1,  products!$A$1:$G$1,0))</f>
        <v>0.2</v>
      </c>
      <c r="L303" s="7">
        <f>INDEX(products!$A$1:$G$49,MATCH(orders!$D303,products!$A$1:$A$49,0), MATCH(orders!L$1,  products!$A$1:$G$1,0))</f>
        <v>3.8849999999999998</v>
      </c>
      <c r="M303" s="7">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 MATCH(orders!I$1,  products!$A$1:$G$1,0))</f>
        <v>Ara</v>
      </c>
      <c r="J304" t="str">
        <f>INDEX(products!$A$1:$G$49,MATCH(orders!$D304,products!$A$1:$A$49,0), MATCH(orders!J$1,  products!$A$1:$G$1,0))</f>
        <v>M</v>
      </c>
      <c r="K304" s="4">
        <f>INDEX(products!$A$1:$G$49,MATCH(orders!$D304,products!$A$1:$A$49,0), MATCH(orders!K$1,  products!$A$1:$G$1,0))</f>
        <v>0.5</v>
      </c>
      <c r="L304" s="7">
        <f>INDEX(products!$A$1:$G$49,MATCH(orders!$D304,products!$A$1:$A$49,0), MATCH(orders!L$1,  products!$A$1:$G$1,0))</f>
        <v>6.75</v>
      </c>
      <c r="M304" s="7">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 MATCH(orders!I$1,  products!$A$1:$G$1,0))</f>
        <v>Exc</v>
      </c>
      <c r="J305" t="str">
        <f>INDEX(products!$A$1:$G$49,MATCH(orders!$D305,products!$A$1:$A$49,0), MATCH(orders!J$1,  products!$A$1:$G$1,0))</f>
        <v>D</v>
      </c>
      <c r="K305" s="4">
        <f>INDEX(products!$A$1:$G$49,MATCH(orders!$D305,products!$A$1:$A$49,0), MATCH(orders!K$1,  products!$A$1:$G$1,0))</f>
        <v>2.5</v>
      </c>
      <c r="L305" s="7">
        <f>INDEX(products!$A$1:$G$49,MATCH(orders!$D305,products!$A$1:$A$49,0), MATCH(orders!L$1,  products!$A$1:$G$1,0))</f>
        <v>27.945</v>
      </c>
      <c r="M305" s="7">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 MATCH(orders!I$1,  products!$A$1:$G$1,0))</f>
        <v>Ara</v>
      </c>
      <c r="J306" t="str">
        <f>INDEX(products!$A$1:$G$49,MATCH(orders!$D306,products!$A$1:$A$49,0), MATCH(orders!J$1,  products!$A$1:$G$1,0))</f>
        <v>L</v>
      </c>
      <c r="K306" s="4">
        <f>INDEX(products!$A$1:$G$49,MATCH(orders!$D306,products!$A$1:$A$49,0), MATCH(orders!K$1,  products!$A$1:$G$1,0))</f>
        <v>0.2</v>
      </c>
      <c r="L306" s="7">
        <f>INDEX(products!$A$1:$G$49,MATCH(orders!$D306,products!$A$1:$A$49,0), MATCH(orders!L$1,  products!$A$1:$G$1,0))</f>
        <v>3.8849999999999998</v>
      </c>
      <c r="M306" s="7">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 MATCH(orders!I$1,  products!$A$1:$G$1,0))</f>
        <v>Lib</v>
      </c>
      <c r="J307" t="str">
        <f>INDEX(products!$A$1:$G$49,MATCH(orders!$D307,products!$A$1:$A$49,0), MATCH(orders!J$1,  products!$A$1:$G$1,0))</f>
        <v>M</v>
      </c>
      <c r="K307" s="4">
        <f>INDEX(products!$A$1:$G$49,MATCH(orders!$D307,products!$A$1:$A$49,0), MATCH(orders!K$1,  products!$A$1:$G$1,0))</f>
        <v>0.2</v>
      </c>
      <c r="L307" s="7">
        <f>INDEX(products!$A$1:$G$49,MATCH(orders!$D307,products!$A$1:$A$49,0), MATCH(orders!L$1,  products!$A$1:$G$1,0))</f>
        <v>4.3650000000000002</v>
      </c>
      <c r="M307" s="7">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 MATCH(orders!I$1,  products!$A$1:$G$1,0))</f>
        <v>Rob</v>
      </c>
      <c r="J308" t="str">
        <f>INDEX(products!$A$1:$G$49,MATCH(orders!$D308,products!$A$1:$A$49,0), MATCH(orders!J$1,  products!$A$1:$G$1,0))</f>
        <v>M</v>
      </c>
      <c r="K308" s="4">
        <f>INDEX(products!$A$1:$G$49,MATCH(orders!$D308,products!$A$1:$A$49,0), MATCH(orders!K$1,  products!$A$1:$G$1,0))</f>
        <v>0.2</v>
      </c>
      <c r="L308" s="7">
        <f>INDEX(products!$A$1:$G$49,MATCH(orders!$D308,products!$A$1:$A$49,0), MATCH(orders!L$1,  products!$A$1:$G$1,0))</f>
        <v>2.9849999999999999</v>
      </c>
      <c r="M308" s="7">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 MATCH(orders!I$1,  products!$A$1:$G$1,0))</f>
        <v>Ara</v>
      </c>
      <c r="J309" t="str">
        <f>INDEX(products!$A$1:$G$49,MATCH(orders!$D309,products!$A$1:$A$49,0), MATCH(orders!J$1,  products!$A$1:$G$1,0))</f>
        <v>M</v>
      </c>
      <c r="K309" s="4">
        <f>INDEX(products!$A$1:$G$49,MATCH(orders!$D309,products!$A$1:$A$49,0), MATCH(orders!K$1,  products!$A$1:$G$1,0))</f>
        <v>1</v>
      </c>
      <c r="L309" s="7">
        <f>INDEX(products!$A$1:$G$49,MATCH(orders!$D309,products!$A$1:$A$49,0), MATCH(orders!L$1,  products!$A$1:$G$1,0))</f>
        <v>11.25</v>
      </c>
      <c r="M309" s="7">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 MATCH(orders!I$1,  products!$A$1:$G$1,0))</f>
        <v>Ara</v>
      </c>
      <c r="J310" t="str">
        <f>INDEX(products!$A$1:$G$49,MATCH(orders!$D310,products!$A$1:$A$49,0), MATCH(orders!J$1,  products!$A$1:$G$1,0))</f>
        <v>M</v>
      </c>
      <c r="K310" s="4">
        <f>INDEX(products!$A$1:$G$49,MATCH(orders!$D310,products!$A$1:$A$49,0), MATCH(orders!K$1,  products!$A$1:$G$1,0))</f>
        <v>1</v>
      </c>
      <c r="L310" s="7">
        <f>INDEX(products!$A$1:$G$49,MATCH(orders!$D310,products!$A$1:$A$49,0), MATCH(orders!L$1,  products!$A$1:$G$1,0))</f>
        <v>11.25</v>
      </c>
      <c r="M310" s="7">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 MATCH(orders!I$1,  products!$A$1:$G$1,0))</f>
        <v>Lib</v>
      </c>
      <c r="J311" t="str">
        <f>INDEX(products!$A$1:$G$49,MATCH(orders!$D311,products!$A$1:$A$49,0), MATCH(orders!J$1,  products!$A$1:$G$1,0))</f>
        <v>M</v>
      </c>
      <c r="K311" s="4">
        <f>INDEX(products!$A$1:$G$49,MATCH(orders!$D311,products!$A$1:$A$49,0), MATCH(orders!K$1,  products!$A$1:$G$1,0))</f>
        <v>0.2</v>
      </c>
      <c r="L311" s="7">
        <f>INDEX(products!$A$1:$G$49,MATCH(orders!$D311,products!$A$1:$A$49,0), MATCH(orders!L$1,  products!$A$1:$G$1,0))</f>
        <v>4.3650000000000002</v>
      </c>
      <c r="M311" s="7">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 MATCH(orders!I$1,  products!$A$1:$G$1,0))</f>
        <v>Exc</v>
      </c>
      <c r="J312" t="str">
        <f>INDEX(products!$A$1:$G$49,MATCH(orders!$D312,products!$A$1:$A$49,0), MATCH(orders!J$1,  products!$A$1:$G$1,0))</f>
        <v>L</v>
      </c>
      <c r="K312" s="4">
        <f>INDEX(products!$A$1:$G$49,MATCH(orders!$D312,products!$A$1:$A$49,0), MATCH(orders!K$1,  products!$A$1:$G$1,0))</f>
        <v>1</v>
      </c>
      <c r="L312" s="7">
        <f>INDEX(products!$A$1:$G$49,MATCH(orders!$D312,products!$A$1:$A$49,0), MATCH(orders!L$1,  products!$A$1:$G$1,0))</f>
        <v>14.85</v>
      </c>
      <c r="M312" s="7">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 MATCH(orders!I$1,  products!$A$1:$G$1,0))</f>
        <v>Exc</v>
      </c>
      <c r="J313" t="str">
        <f>INDEX(products!$A$1:$G$49,MATCH(orders!$D313,products!$A$1:$A$49,0), MATCH(orders!J$1,  products!$A$1:$G$1,0))</f>
        <v>M</v>
      </c>
      <c r="K313" s="4">
        <f>INDEX(products!$A$1:$G$49,MATCH(orders!$D313,products!$A$1:$A$49,0), MATCH(orders!K$1,  products!$A$1:$G$1,0))</f>
        <v>2.5</v>
      </c>
      <c r="L313" s="7">
        <f>INDEX(products!$A$1:$G$49,MATCH(orders!$D313,products!$A$1:$A$49,0), MATCH(orders!L$1,  products!$A$1:$G$1,0))</f>
        <v>31.624999999999996</v>
      </c>
      <c r="M313" s="7">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 MATCH(orders!I$1,  products!$A$1:$G$1,0))</f>
        <v>Rob</v>
      </c>
      <c r="J314" t="str">
        <f>INDEX(products!$A$1:$G$49,MATCH(orders!$D314,products!$A$1:$A$49,0), MATCH(orders!J$1,  products!$A$1:$G$1,0))</f>
        <v>M</v>
      </c>
      <c r="K314" s="4">
        <f>INDEX(products!$A$1:$G$49,MATCH(orders!$D314,products!$A$1:$A$49,0), MATCH(orders!K$1,  products!$A$1:$G$1,0))</f>
        <v>0.5</v>
      </c>
      <c r="L314" s="7">
        <f>INDEX(products!$A$1:$G$49,MATCH(orders!$D314,products!$A$1:$A$49,0), MATCH(orders!L$1,  products!$A$1:$G$1,0))</f>
        <v>5.97</v>
      </c>
      <c r="M314" s="7">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 MATCH(orders!I$1,  products!$A$1:$G$1,0))</f>
        <v>Rob</v>
      </c>
      <c r="J315" t="str">
        <f>INDEX(products!$A$1:$G$49,MATCH(orders!$D315,products!$A$1:$A$49,0), MATCH(orders!J$1,  products!$A$1:$G$1,0))</f>
        <v>M</v>
      </c>
      <c r="K315" s="4">
        <f>INDEX(products!$A$1:$G$49,MATCH(orders!$D315,products!$A$1:$A$49,0), MATCH(orders!K$1,  products!$A$1:$G$1,0))</f>
        <v>1</v>
      </c>
      <c r="L315" s="7">
        <f>INDEX(products!$A$1:$G$49,MATCH(orders!$D315,products!$A$1:$A$49,0), MATCH(orders!L$1,  products!$A$1:$G$1,0))</f>
        <v>9.9499999999999993</v>
      </c>
      <c r="M315" s="7">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 MATCH(orders!I$1,  products!$A$1:$G$1,0))</f>
        <v>Rob</v>
      </c>
      <c r="J316" t="str">
        <f>INDEX(products!$A$1:$G$49,MATCH(orders!$D316,products!$A$1:$A$49,0), MATCH(orders!J$1,  products!$A$1:$G$1,0))</f>
        <v>D</v>
      </c>
      <c r="K316" s="4">
        <f>INDEX(products!$A$1:$G$49,MATCH(orders!$D316,products!$A$1:$A$49,0), MATCH(orders!K$1,  products!$A$1:$G$1,0))</f>
        <v>1</v>
      </c>
      <c r="L316" s="7">
        <f>INDEX(products!$A$1:$G$49,MATCH(orders!$D316,products!$A$1:$A$49,0), MATCH(orders!L$1,  products!$A$1:$G$1,0))</f>
        <v>8.9499999999999993</v>
      </c>
      <c r="M316" s="7">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 MATCH(orders!I$1,  products!$A$1:$G$1,0))</f>
        <v>Exc</v>
      </c>
      <c r="J317" t="str">
        <f>INDEX(products!$A$1:$G$49,MATCH(orders!$D317,products!$A$1:$A$49,0), MATCH(orders!J$1,  products!$A$1:$G$1,0))</f>
        <v>L</v>
      </c>
      <c r="K317" s="4">
        <f>INDEX(products!$A$1:$G$49,MATCH(orders!$D317,products!$A$1:$A$49,0), MATCH(orders!K$1,  products!$A$1:$G$1,0))</f>
        <v>2.5</v>
      </c>
      <c r="L317" s="7">
        <f>INDEX(products!$A$1:$G$49,MATCH(orders!$D317,products!$A$1:$A$49,0), MATCH(orders!L$1,  products!$A$1:$G$1,0))</f>
        <v>34.154999999999994</v>
      </c>
      <c r="M317" s="7">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 MATCH(orders!I$1,  products!$A$1:$G$1,0))</f>
        <v>Exc</v>
      </c>
      <c r="J318" t="str">
        <f>INDEX(products!$A$1:$G$49,MATCH(orders!$D318,products!$A$1:$A$49,0), MATCH(orders!J$1,  products!$A$1:$G$1,0))</f>
        <v>L</v>
      </c>
      <c r="K318" s="4">
        <f>INDEX(products!$A$1:$G$49,MATCH(orders!$D318,products!$A$1:$A$49,0), MATCH(orders!K$1,  products!$A$1:$G$1,0))</f>
        <v>2.5</v>
      </c>
      <c r="L318" s="7">
        <f>INDEX(products!$A$1:$G$49,MATCH(orders!$D318,products!$A$1:$A$49,0), MATCH(orders!L$1,  products!$A$1:$G$1,0))</f>
        <v>34.154999999999994</v>
      </c>
      <c r="M318" s="7">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 MATCH(orders!I$1,  products!$A$1:$G$1,0))</f>
        <v>Exc</v>
      </c>
      <c r="J319" t="str">
        <f>INDEX(products!$A$1:$G$49,MATCH(orders!$D319,products!$A$1:$A$49,0), MATCH(orders!J$1,  products!$A$1:$G$1,0))</f>
        <v>D</v>
      </c>
      <c r="K319" s="4">
        <f>INDEX(products!$A$1:$G$49,MATCH(orders!$D319,products!$A$1:$A$49,0), MATCH(orders!K$1,  products!$A$1:$G$1,0))</f>
        <v>0.5</v>
      </c>
      <c r="L319" s="7">
        <f>INDEX(products!$A$1:$G$49,MATCH(orders!$D319,products!$A$1:$A$49,0), MATCH(orders!L$1,  products!$A$1:$G$1,0))</f>
        <v>7.29</v>
      </c>
      <c r="M319" s="7">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 MATCH(orders!I$1,  products!$A$1:$G$1,0))</f>
        <v>Ara</v>
      </c>
      <c r="J320" t="str">
        <f>INDEX(products!$A$1:$G$49,MATCH(orders!$D320,products!$A$1:$A$49,0), MATCH(orders!J$1,  products!$A$1:$G$1,0))</f>
        <v>M</v>
      </c>
      <c r="K320" s="4">
        <f>INDEX(products!$A$1:$G$49,MATCH(orders!$D320,products!$A$1:$A$49,0), MATCH(orders!K$1,  products!$A$1:$G$1,0))</f>
        <v>2.5</v>
      </c>
      <c r="L320" s="7">
        <f>INDEX(products!$A$1:$G$49,MATCH(orders!$D320,products!$A$1:$A$49,0), MATCH(orders!L$1,  products!$A$1:$G$1,0))</f>
        <v>25.874999999999996</v>
      </c>
      <c r="M320" s="7">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 MATCH(orders!I$1,  products!$A$1:$G$1,0))</f>
        <v>Exc</v>
      </c>
      <c r="J321" t="str">
        <f>INDEX(products!$A$1:$G$49,MATCH(orders!$D321,products!$A$1:$A$49,0), MATCH(orders!J$1,  products!$A$1:$G$1,0))</f>
        <v>M</v>
      </c>
      <c r="K321" s="4">
        <f>INDEX(products!$A$1:$G$49,MATCH(orders!$D321,products!$A$1:$A$49,0), MATCH(orders!K$1,  products!$A$1:$G$1,0))</f>
        <v>0.2</v>
      </c>
      <c r="L321" s="7">
        <f>INDEX(products!$A$1:$G$49,MATCH(orders!$D321,products!$A$1:$A$49,0), MATCH(orders!L$1,  products!$A$1:$G$1,0))</f>
        <v>4.125</v>
      </c>
      <c r="M321" s="7">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 MATCH(orders!I$1,  products!$A$1:$G$1,0))</f>
        <v>Ara</v>
      </c>
      <c r="J322" t="str">
        <f>INDEX(products!$A$1:$G$49,MATCH(orders!$D322,products!$A$1:$A$49,0), MATCH(orders!J$1,  products!$A$1:$G$1,0))</f>
        <v>L</v>
      </c>
      <c r="K322" s="4">
        <f>INDEX(products!$A$1:$G$49,MATCH(orders!$D322,products!$A$1:$A$49,0), MATCH(orders!K$1,  products!$A$1:$G$1,0))</f>
        <v>0.2</v>
      </c>
      <c r="L322" s="7">
        <f>INDEX(products!$A$1:$G$49,MATCH(orders!$D322,products!$A$1:$A$49,0), MATCH(orders!L$1,  products!$A$1:$G$1,0))</f>
        <v>3.8849999999999998</v>
      </c>
      <c r="M322" s="7">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 MATCH(orders!I$1,  products!$A$1:$G$1,0))</f>
        <v>Ara</v>
      </c>
      <c r="J323" t="str">
        <f>INDEX(products!$A$1:$G$49,MATCH(orders!$D323,products!$A$1:$A$49,0), MATCH(orders!J$1,  products!$A$1:$G$1,0))</f>
        <v>M</v>
      </c>
      <c r="K323" s="4">
        <f>INDEX(products!$A$1:$G$49,MATCH(orders!$D323,products!$A$1:$A$49,0), MATCH(orders!K$1,  products!$A$1:$G$1,0))</f>
        <v>0.2</v>
      </c>
      <c r="L323" s="7">
        <f>INDEX(products!$A$1:$G$49,MATCH(orders!$D323,products!$A$1:$A$49,0), MATCH(orders!L$1,  products!$A$1:$G$1,0))</f>
        <v>3.375</v>
      </c>
      <c r="M323" s="7">
        <f t="shared" ref="M323:M386" si="15">L323*E323</f>
        <v>20.25</v>
      </c>
      <c r="N323" t="str">
        <f t="shared" ref="N323:N386" si="16">IF(I323="Rob","Robusta", IF(I323="Exc","Excelsa", IF(I323="Ara", "Arabica", IF(I323="Lib", "Liberica", ""))))</f>
        <v>Arabica</v>
      </c>
      <c r="O323" t="str">
        <f t="shared" ref="O323:O386" si="17">IF(J323="M", "Medium", IF(J323="L", "Light",IF(J323="D","Dark","")))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 MATCH(orders!I$1,  products!$A$1:$G$1,0))</f>
        <v>Lib</v>
      </c>
      <c r="J324" t="str">
        <f>INDEX(products!$A$1:$G$49,MATCH(orders!$D324,products!$A$1:$A$49,0), MATCH(orders!J$1,  products!$A$1:$G$1,0))</f>
        <v>D</v>
      </c>
      <c r="K324" s="4">
        <f>INDEX(products!$A$1:$G$49,MATCH(orders!$D324,products!$A$1:$A$49,0), MATCH(orders!K$1,  products!$A$1:$G$1,0))</f>
        <v>0.5</v>
      </c>
      <c r="L324" s="7">
        <f>INDEX(products!$A$1:$G$49,MATCH(orders!$D324,products!$A$1:$A$49,0), MATCH(orders!L$1,  products!$A$1:$G$1,0))</f>
        <v>7.77</v>
      </c>
      <c r="M324" s="7">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 MATCH(orders!I$1,  products!$A$1:$G$1,0))</f>
        <v>Exc</v>
      </c>
      <c r="J325" t="str">
        <f>INDEX(products!$A$1:$G$49,MATCH(orders!$D325,products!$A$1:$A$49,0), MATCH(orders!J$1,  products!$A$1:$G$1,0))</f>
        <v>D</v>
      </c>
      <c r="K325" s="4">
        <f>INDEX(products!$A$1:$G$49,MATCH(orders!$D325,products!$A$1:$A$49,0), MATCH(orders!K$1,  products!$A$1:$G$1,0))</f>
        <v>0.2</v>
      </c>
      <c r="L325" s="7">
        <f>INDEX(products!$A$1:$G$49,MATCH(orders!$D325,products!$A$1:$A$49,0), MATCH(orders!L$1,  products!$A$1:$G$1,0))</f>
        <v>3.645</v>
      </c>
      <c r="M325" s="7">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 MATCH(orders!I$1,  products!$A$1:$G$1,0))</f>
        <v>Exc</v>
      </c>
      <c r="J326" t="str">
        <f>INDEX(products!$A$1:$G$49,MATCH(orders!$D326,products!$A$1:$A$49,0), MATCH(orders!J$1,  products!$A$1:$G$1,0))</f>
        <v>M</v>
      </c>
      <c r="K326" s="4">
        <f>INDEX(products!$A$1:$G$49,MATCH(orders!$D326,products!$A$1:$A$49,0), MATCH(orders!K$1,  products!$A$1:$G$1,0))</f>
        <v>1</v>
      </c>
      <c r="L326" s="7">
        <f>INDEX(products!$A$1:$G$49,MATCH(orders!$D326,products!$A$1:$A$49,0), MATCH(orders!L$1,  products!$A$1:$G$1,0))</f>
        <v>13.75</v>
      </c>
      <c r="M326" s="7">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 MATCH(orders!I$1,  products!$A$1:$G$1,0))</f>
        <v>Ara</v>
      </c>
      <c r="J327" t="str">
        <f>INDEX(products!$A$1:$G$49,MATCH(orders!$D327,products!$A$1:$A$49,0), MATCH(orders!J$1,  products!$A$1:$G$1,0))</f>
        <v>L</v>
      </c>
      <c r="K327" s="4">
        <f>INDEX(products!$A$1:$G$49,MATCH(orders!$D327,products!$A$1:$A$49,0), MATCH(orders!K$1,  products!$A$1:$G$1,0))</f>
        <v>2.5</v>
      </c>
      <c r="L327" s="7">
        <f>INDEX(products!$A$1:$G$49,MATCH(orders!$D327,products!$A$1:$A$49,0), MATCH(orders!L$1,  products!$A$1:$G$1,0))</f>
        <v>29.784999999999997</v>
      </c>
      <c r="M327" s="7">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 MATCH(orders!I$1,  products!$A$1:$G$1,0))</f>
        <v>Rob</v>
      </c>
      <c r="J328" t="str">
        <f>INDEX(products!$A$1:$G$49,MATCH(orders!$D328,products!$A$1:$A$49,0), MATCH(orders!J$1,  products!$A$1:$G$1,0))</f>
        <v>D</v>
      </c>
      <c r="K328" s="4">
        <f>INDEX(products!$A$1:$G$49,MATCH(orders!$D328,products!$A$1:$A$49,0), MATCH(orders!K$1,  products!$A$1:$G$1,0))</f>
        <v>1</v>
      </c>
      <c r="L328" s="7">
        <f>INDEX(products!$A$1:$G$49,MATCH(orders!$D328,products!$A$1:$A$49,0), MATCH(orders!L$1,  products!$A$1:$G$1,0))</f>
        <v>8.9499999999999993</v>
      </c>
      <c r="M328" s="7">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 MATCH(orders!I$1,  products!$A$1:$G$1,0))</f>
        <v>Rob</v>
      </c>
      <c r="J329" t="str">
        <f>INDEX(products!$A$1:$G$49,MATCH(orders!$D329,products!$A$1:$A$49,0), MATCH(orders!J$1,  products!$A$1:$G$1,0))</f>
        <v>D</v>
      </c>
      <c r="K329" s="4">
        <f>INDEX(products!$A$1:$G$49,MATCH(orders!$D329,products!$A$1:$A$49,0), MATCH(orders!K$1,  products!$A$1:$G$1,0))</f>
        <v>1</v>
      </c>
      <c r="L329" s="7">
        <f>INDEX(products!$A$1:$G$49,MATCH(orders!$D329,products!$A$1:$A$49,0), MATCH(orders!L$1,  products!$A$1:$G$1,0))</f>
        <v>8.9499999999999993</v>
      </c>
      <c r="M329" s="7">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 MATCH(orders!I$1,  products!$A$1:$G$1,0))</f>
        <v>Lib</v>
      </c>
      <c r="J330" t="str">
        <f>INDEX(products!$A$1:$G$49,MATCH(orders!$D330,products!$A$1:$A$49,0), MATCH(orders!J$1,  products!$A$1:$G$1,0))</f>
        <v>L</v>
      </c>
      <c r="K330" s="4">
        <f>INDEX(products!$A$1:$G$49,MATCH(orders!$D330,products!$A$1:$A$49,0), MATCH(orders!K$1,  products!$A$1:$G$1,0))</f>
        <v>0.5</v>
      </c>
      <c r="L330" s="7">
        <f>INDEX(products!$A$1:$G$49,MATCH(orders!$D330,products!$A$1:$A$49,0), MATCH(orders!L$1,  products!$A$1:$G$1,0))</f>
        <v>9.51</v>
      </c>
      <c r="M330" s="7">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 MATCH(orders!I$1,  products!$A$1:$G$1,0))</f>
        <v>Rob</v>
      </c>
      <c r="J331" t="str">
        <f>INDEX(products!$A$1:$G$49,MATCH(orders!$D331,products!$A$1:$A$49,0), MATCH(orders!J$1,  products!$A$1:$G$1,0))</f>
        <v>D</v>
      </c>
      <c r="K331" s="4">
        <f>INDEX(products!$A$1:$G$49,MATCH(orders!$D331,products!$A$1:$A$49,0), MATCH(orders!K$1,  products!$A$1:$G$1,0))</f>
        <v>0.5</v>
      </c>
      <c r="L331" s="7">
        <f>INDEX(products!$A$1:$G$49,MATCH(orders!$D331,products!$A$1:$A$49,0), MATCH(orders!L$1,  products!$A$1:$G$1,0))</f>
        <v>5.3699999999999992</v>
      </c>
      <c r="M331" s="7">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 MATCH(orders!I$1,  products!$A$1:$G$1,0))</f>
        <v>Rob</v>
      </c>
      <c r="J332" t="str">
        <f>INDEX(products!$A$1:$G$49,MATCH(orders!$D332,products!$A$1:$A$49,0), MATCH(orders!J$1,  products!$A$1:$G$1,0))</f>
        <v>D</v>
      </c>
      <c r="K332" s="4">
        <f>INDEX(products!$A$1:$G$49,MATCH(orders!$D332,products!$A$1:$A$49,0), MATCH(orders!K$1,  products!$A$1:$G$1,0))</f>
        <v>0.5</v>
      </c>
      <c r="L332" s="7">
        <f>INDEX(products!$A$1:$G$49,MATCH(orders!$D332,products!$A$1:$A$49,0), MATCH(orders!L$1,  products!$A$1:$G$1,0))</f>
        <v>5.3699999999999992</v>
      </c>
      <c r="M332" s="7">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 MATCH(orders!I$1,  products!$A$1:$G$1,0))</f>
        <v>Rob</v>
      </c>
      <c r="J333" t="str">
        <f>INDEX(products!$A$1:$G$49,MATCH(orders!$D333,products!$A$1:$A$49,0), MATCH(orders!J$1,  products!$A$1:$G$1,0))</f>
        <v>M</v>
      </c>
      <c r="K333" s="4">
        <f>INDEX(products!$A$1:$G$49,MATCH(orders!$D333,products!$A$1:$A$49,0), MATCH(orders!K$1,  products!$A$1:$G$1,0))</f>
        <v>2.5</v>
      </c>
      <c r="L333" s="7">
        <f>INDEX(products!$A$1:$G$49,MATCH(orders!$D333,products!$A$1:$A$49,0), MATCH(orders!L$1,  products!$A$1:$G$1,0))</f>
        <v>22.884999999999998</v>
      </c>
      <c r="M333" s="7">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 MATCH(orders!I$1,  products!$A$1:$G$1,0))</f>
        <v>Ara</v>
      </c>
      <c r="J334" t="str">
        <f>INDEX(products!$A$1:$G$49,MATCH(orders!$D334,products!$A$1:$A$49,0), MATCH(orders!J$1,  products!$A$1:$G$1,0))</f>
        <v>D</v>
      </c>
      <c r="K334" s="4">
        <f>INDEX(products!$A$1:$G$49,MATCH(orders!$D334,products!$A$1:$A$49,0), MATCH(orders!K$1,  products!$A$1:$G$1,0))</f>
        <v>0.5</v>
      </c>
      <c r="L334" s="7">
        <f>INDEX(products!$A$1:$G$49,MATCH(orders!$D334,products!$A$1:$A$49,0), MATCH(orders!L$1,  products!$A$1:$G$1,0))</f>
        <v>5.97</v>
      </c>
      <c r="M334" s="7">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 MATCH(orders!I$1,  products!$A$1:$G$1,0))</f>
        <v>Rob</v>
      </c>
      <c r="J335" t="str">
        <f>INDEX(products!$A$1:$G$49,MATCH(orders!$D335,products!$A$1:$A$49,0), MATCH(orders!J$1,  products!$A$1:$G$1,0))</f>
        <v>M</v>
      </c>
      <c r="K335" s="4">
        <f>INDEX(products!$A$1:$G$49,MATCH(orders!$D335,products!$A$1:$A$49,0), MATCH(orders!K$1,  products!$A$1:$G$1,0))</f>
        <v>0.5</v>
      </c>
      <c r="L335" s="7">
        <f>INDEX(products!$A$1:$G$49,MATCH(orders!$D335,products!$A$1:$A$49,0), MATCH(orders!L$1,  products!$A$1:$G$1,0))</f>
        <v>5.97</v>
      </c>
      <c r="M335" s="7">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 MATCH(orders!I$1,  products!$A$1:$G$1,0))</f>
        <v>Rob</v>
      </c>
      <c r="J336" t="str">
        <f>INDEX(products!$A$1:$G$49,MATCH(orders!$D336,products!$A$1:$A$49,0), MATCH(orders!J$1,  products!$A$1:$G$1,0))</f>
        <v>L</v>
      </c>
      <c r="K336" s="4">
        <f>INDEX(products!$A$1:$G$49,MATCH(orders!$D336,products!$A$1:$A$49,0), MATCH(orders!K$1,  products!$A$1:$G$1,0))</f>
        <v>1</v>
      </c>
      <c r="L336" s="7">
        <f>INDEX(products!$A$1:$G$49,MATCH(orders!$D336,products!$A$1:$A$49,0), MATCH(orders!L$1,  products!$A$1:$G$1,0))</f>
        <v>11.95</v>
      </c>
      <c r="M336" s="7">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 MATCH(orders!I$1,  products!$A$1:$G$1,0))</f>
        <v>Lib</v>
      </c>
      <c r="J337" t="str">
        <f>INDEX(products!$A$1:$G$49,MATCH(orders!$D337,products!$A$1:$A$49,0), MATCH(orders!J$1,  products!$A$1:$G$1,0))</f>
        <v>L</v>
      </c>
      <c r="K337" s="4">
        <f>INDEX(products!$A$1:$G$49,MATCH(orders!$D337,products!$A$1:$A$49,0), MATCH(orders!K$1,  products!$A$1:$G$1,0))</f>
        <v>0.2</v>
      </c>
      <c r="L337" s="7">
        <f>INDEX(products!$A$1:$G$49,MATCH(orders!$D337,products!$A$1:$A$49,0), MATCH(orders!L$1,  products!$A$1:$G$1,0))</f>
        <v>4.7549999999999999</v>
      </c>
      <c r="M337" s="7">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 MATCH(orders!I$1,  products!$A$1:$G$1,0))</f>
        <v>Ara</v>
      </c>
      <c r="J338" t="str">
        <f>INDEX(products!$A$1:$G$49,MATCH(orders!$D338,products!$A$1:$A$49,0), MATCH(orders!J$1,  products!$A$1:$G$1,0))</f>
        <v>M</v>
      </c>
      <c r="K338" s="4">
        <f>INDEX(products!$A$1:$G$49,MATCH(orders!$D338,products!$A$1:$A$49,0), MATCH(orders!K$1,  products!$A$1:$G$1,0))</f>
        <v>1</v>
      </c>
      <c r="L338" s="7">
        <f>INDEX(products!$A$1:$G$49,MATCH(orders!$D338,products!$A$1:$A$49,0), MATCH(orders!L$1,  products!$A$1:$G$1,0))</f>
        <v>11.25</v>
      </c>
      <c r="M338" s="7">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 MATCH(orders!I$1,  products!$A$1:$G$1,0))</f>
        <v>Exc</v>
      </c>
      <c r="J339" t="str">
        <f>INDEX(products!$A$1:$G$49,MATCH(orders!$D339,products!$A$1:$A$49,0), MATCH(orders!J$1,  products!$A$1:$G$1,0))</f>
        <v>D</v>
      </c>
      <c r="K339" s="4">
        <f>INDEX(products!$A$1:$G$49,MATCH(orders!$D339,products!$A$1:$A$49,0), MATCH(orders!K$1,  products!$A$1:$G$1,0))</f>
        <v>2.5</v>
      </c>
      <c r="L339" s="7">
        <f>INDEX(products!$A$1:$G$49,MATCH(orders!$D339,products!$A$1:$A$49,0), MATCH(orders!L$1,  products!$A$1:$G$1,0))</f>
        <v>27.945</v>
      </c>
      <c r="M339" s="7">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 MATCH(orders!I$1,  products!$A$1:$G$1,0))</f>
        <v>Exc</v>
      </c>
      <c r="J340" t="str">
        <f>INDEX(products!$A$1:$G$49,MATCH(orders!$D340,products!$A$1:$A$49,0), MATCH(orders!J$1,  products!$A$1:$G$1,0))</f>
        <v>L</v>
      </c>
      <c r="K340" s="4">
        <f>INDEX(products!$A$1:$G$49,MATCH(orders!$D340,products!$A$1:$A$49,0), MATCH(orders!K$1,  products!$A$1:$G$1,0))</f>
        <v>1</v>
      </c>
      <c r="L340" s="7">
        <f>INDEX(products!$A$1:$G$49,MATCH(orders!$D340,products!$A$1:$A$49,0), MATCH(orders!L$1,  products!$A$1:$G$1,0))</f>
        <v>14.85</v>
      </c>
      <c r="M340" s="7">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 MATCH(orders!I$1,  products!$A$1:$G$1,0))</f>
        <v>Exc</v>
      </c>
      <c r="J341" t="str">
        <f>INDEX(products!$A$1:$G$49,MATCH(orders!$D341,products!$A$1:$A$49,0), MATCH(orders!J$1,  products!$A$1:$G$1,0))</f>
        <v>D</v>
      </c>
      <c r="K341" s="4">
        <f>INDEX(products!$A$1:$G$49,MATCH(orders!$D341,products!$A$1:$A$49,0), MATCH(orders!K$1,  products!$A$1:$G$1,0))</f>
        <v>0.2</v>
      </c>
      <c r="L341" s="7">
        <f>INDEX(products!$A$1:$G$49,MATCH(orders!$D341,products!$A$1:$A$49,0), MATCH(orders!L$1,  products!$A$1:$G$1,0))</f>
        <v>3.645</v>
      </c>
      <c r="M341" s="7">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 MATCH(orders!I$1,  products!$A$1:$G$1,0))</f>
        <v>Exc</v>
      </c>
      <c r="J342" t="str">
        <f>INDEX(products!$A$1:$G$49,MATCH(orders!$D342,products!$A$1:$A$49,0), MATCH(orders!J$1,  products!$A$1:$G$1,0))</f>
        <v>D</v>
      </c>
      <c r="K342" s="4">
        <f>INDEX(products!$A$1:$G$49,MATCH(orders!$D342,products!$A$1:$A$49,0), MATCH(orders!K$1,  products!$A$1:$G$1,0))</f>
        <v>0.5</v>
      </c>
      <c r="L342" s="7">
        <f>INDEX(products!$A$1:$G$49,MATCH(orders!$D342,products!$A$1:$A$49,0), MATCH(orders!L$1,  products!$A$1:$G$1,0))</f>
        <v>7.29</v>
      </c>
      <c r="M342" s="7">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 MATCH(orders!I$1,  products!$A$1:$G$1,0))</f>
        <v>Exc</v>
      </c>
      <c r="J343" t="str">
        <f>INDEX(products!$A$1:$G$49,MATCH(orders!$D343,products!$A$1:$A$49,0), MATCH(orders!J$1,  products!$A$1:$G$1,0))</f>
        <v>L</v>
      </c>
      <c r="K343" s="4">
        <f>INDEX(products!$A$1:$G$49,MATCH(orders!$D343,products!$A$1:$A$49,0), MATCH(orders!K$1,  products!$A$1:$G$1,0))</f>
        <v>0.5</v>
      </c>
      <c r="L343" s="7">
        <f>INDEX(products!$A$1:$G$49,MATCH(orders!$D343,products!$A$1:$A$49,0), MATCH(orders!L$1,  products!$A$1:$G$1,0))</f>
        <v>8.91</v>
      </c>
      <c r="M343" s="7">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 MATCH(orders!I$1,  products!$A$1:$G$1,0))</f>
        <v>Lib</v>
      </c>
      <c r="J344" t="str">
        <f>INDEX(products!$A$1:$G$49,MATCH(orders!$D344,products!$A$1:$A$49,0), MATCH(orders!J$1,  products!$A$1:$G$1,0))</f>
        <v>D</v>
      </c>
      <c r="K344" s="4">
        <f>INDEX(products!$A$1:$G$49,MATCH(orders!$D344,products!$A$1:$A$49,0), MATCH(orders!K$1,  products!$A$1:$G$1,0))</f>
        <v>0.5</v>
      </c>
      <c r="L344" s="7">
        <f>INDEX(products!$A$1:$G$49,MATCH(orders!$D344,products!$A$1:$A$49,0), MATCH(orders!L$1,  products!$A$1:$G$1,0))</f>
        <v>7.77</v>
      </c>
      <c r="M344" s="7">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 MATCH(orders!I$1,  products!$A$1:$G$1,0))</f>
        <v>Rob</v>
      </c>
      <c r="J345" t="str">
        <f>INDEX(products!$A$1:$G$49,MATCH(orders!$D345,products!$A$1:$A$49,0), MATCH(orders!J$1,  products!$A$1:$G$1,0))</f>
        <v>D</v>
      </c>
      <c r="K345" s="4">
        <f>INDEX(products!$A$1:$G$49,MATCH(orders!$D345,products!$A$1:$A$49,0), MATCH(orders!K$1,  products!$A$1:$G$1,0))</f>
        <v>0.5</v>
      </c>
      <c r="L345" s="7">
        <f>INDEX(products!$A$1:$G$49,MATCH(orders!$D345,products!$A$1:$A$49,0), MATCH(orders!L$1,  products!$A$1:$G$1,0))</f>
        <v>5.3699999999999992</v>
      </c>
      <c r="M345" s="7">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 MATCH(orders!I$1,  products!$A$1:$G$1,0))</f>
        <v>Rob</v>
      </c>
      <c r="J346" t="str">
        <f>INDEX(products!$A$1:$G$49,MATCH(orders!$D346,products!$A$1:$A$49,0), MATCH(orders!J$1,  products!$A$1:$G$1,0))</f>
        <v>M</v>
      </c>
      <c r="K346" s="4">
        <f>INDEX(products!$A$1:$G$49,MATCH(orders!$D346,products!$A$1:$A$49,0), MATCH(orders!K$1,  products!$A$1:$G$1,0))</f>
        <v>1</v>
      </c>
      <c r="L346" s="7">
        <f>INDEX(products!$A$1:$G$49,MATCH(orders!$D346,products!$A$1:$A$49,0), MATCH(orders!L$1,  products!$A$1:$G$1,0))</f>
        <v>9.9499999999999993</v>
      </c>
      <c r="M346" s="7">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 MATCH(orders!I$1,  products!$A$1:$G$1,0))</f>
        <v>Rob</v>
      </c>
      <c r="J347" t="str">
        <f>INDEX(products!$A$1:$G$49,MATCH(orders!$D347,products!$A$1:$A$49,0), MATCH(orders!J$1,  products!$A$1:$G$1,0))</f>
        <v>L</v>
      </c>
      <c r="K347" s="4">
        <f>INDEX(products!$A$1:$G$49,MATCH(orders!$D347,products!$A$1:$A$49,0), MATCH(orders!K$1,  products!$A$1:$G$1,0))</f>
        <v>1</v>
      </c>
      <c r="L347" s="7">
        <f>INDEX(products!$A$1:$G$49,MATCH(orders!$D347,products!$A$1:$A$49,0), MATCH(orders!L$1,  products!$A$1:$G$1,0))</f>
        <v>11.95</v>
      </c>
      <c r="M347" s="7">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 MATCH(orders!I$1,  products!$A$1:$G$1,0))</f>
        <v>Ara</v>
      </c>
      <c r="J348" t="str">
        <f>INDEX(products!$A$1:$G$49,MATCH(orders!$D348,products!$A$1:$A$49,0), MATCH(orders!J$1,  products!$A$1:$G$1,0))</f>
        <v>L</v>
      </c>
      <c r="K348" s="4">
        <f>INDEX(products!$A$1:$G$49,MATCH(orders!$D348,products!$A$1:$A$49,0), MATCH(orders!K$1,  products!$A$1:$G$1,0))</f>
        <v>0.5</v>
      </c>
      <c r="L348" s="7">
        <f>INDEX(products!$A$1:$G$49,MATCH(orders!$D348,products!$A$1:$A$49,0), MATCH(orders!L$1,  products!$A$1:$G$1,0))</f>
        <v>7.77</v>
      </c>
      <c r="M348" s="7">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 MATCH(orders!I$1,  products!$A$1:$G$1,0))</f>
        <v>Lib</v>
      </c>
      <c r="J349" t="str">
        <f>INDEX(products!$A$1:$G$49,MATCH(orders!$D349,products!$A$1:$A$49,0), MATCH(orders!J$1,  products!$A$1:$G$1,0))</f>
        <v>M</v>
      </c>
      <c r="K349" s="4">
        <f>INDEX(products!$A$1:$G$49,MATCH(orders!$D349,products!$A$1:$A$49,0), MATCH(orders!K$1,  products!$A$1:$G$1,0))</f>
        <v>1</v>
      </c>
      <c r="L349" s="7">
        <f>INDEX(products!$A$1:$G$49,MATCH(orders!$D349,products!$A$1:$A$49,0), MATCH(orders!L$1,  products!$A$1:$G$1,0))</f>
        <v>14.55</v>
      </c>
      <c r="M349" s="7">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 MATCH(orders!I$1,  products!$A$1:$G$1,0))</f>
        <v>Exc</v>
      </c>
      <c r="J350" t="str">
        <f>INDEX(products!$A$1:$G$49,MATCH(orders!$D350,products!$A$1:$A$49,0), MATCH(orders!J$1,  products!$A$1:$G$1,0))</f>
        <v>L</v>
      </c>
      <c r="K350" s="4">
        <f>INDEX(products!$A$1:$G$49,MATCH(orders!$D350,products!$A$1:$A$49,0), MATCH(orders!K$1,  products!$A$1:$G$1,0))</f>
        <v>2.5</v>
      </c>
      <c r="L350" s="7">
        <f>INDEX(products!$A$1:$G$49,MATCH(orders!$D350,products!$A$1:$A$49,0), MATCH(orders!L$1,  products!$A$1:$G$1,0))</f>
        <v>34.154999999999994</v>
      </c>
      <c r="M350" s="7">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 MATCH(orders!I$1,  products!$A$1:$G$1,0))</f>
        <v>Rob</v>
      </c>
      <c r="J351" t="str">
        <f>INDEX(products!$A$1:$G$49,MATCH(orders!$D351,products!$A$1:$A$49,0), MATCH(orders!J$1,  products!$A$1:$G$1,0))</f>
        <v>L</v>
      </c>
      <c r="K351" s="4">
        <f>INDEX(products!$A$1:$G$49,MATCH(orders!$D351,products!$A$1:$A$49,0), MATCH(orders!K$1,  products!$A$1:$G$1,0))</f>
        <v>0.2</v>
      </c>
      <c r="L351" s="7">
        <f>INDEX(products!$A$1:$G$49,MATCH(orders!$D351,products!$A$1:$A$49,0), MATCH(orders!L$1,  products!$A$1:$G$1,0))</f>
        <v>3.5849999999999995</v>
      </c>
      <c r="M351" s="7">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 MATCH(orders!I$1,  products!$A$1:$G$1,0))</f>
        <v>Ara</v>
      </c>
      <c r="J352" t="str">
        <f>INDEX(products!$A$1:$G$49,MATCH(orders!$D352,products!$A$1:$A$49,0), MATCH(orders!J$1,  products!$A$1:$G$1,0))</f>
        <v>D</v>
      </c>
      <c r="K352" s="4">
        <f>INDEX(products!$A$1:$G$49,MATCH(orders!$D352,products!$A$1:$A$49,0), MATCH(orders!K$1,  products!$A$1:$G$1,0))</f>
        <v>0.5</v>
      </c>
      <c r="L352" s="7">
        <f>INDEX(products!$A$1:$G$49,MATCH(orders!$D352,products!$A$1:$A$49,0), MATCH(orders!L$1,  products!$A$1:$G$1,0))</f>
        <v>5.97</v>
      </c>
      <c r="M352" s="7">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 MATCH(orders!I$1,  products!$A$1:$G$1,0))</f>
        <v>Ara</v>
      </c>
      <c r="J353" t="str">
        <f>INDEX(products!$A$1:$G$49,MATCH(orders!$D353,products!$A$1:$A$49,0), MATCH(orders!J$1,  products!$A$1:$G$1,0))</f>
        <v>M</v>
      </c>
      <c r="K353" s="4">
        <f>INDEX(products!$A$1:$G$49,MATCH(orders!$D353,products!$A$1:$A$49,0), MATCH(orders!K$1,  products!$A$1:$G$1,0))</f>
        <v>1</v>
      </c>
      <c r="L353" s="7">
        <f>INDEX(products!$A$1:$G$49,MATCH(orders!$D353,products!$A$1:$A$49,0), MATCH(orders!L$1,  products!$A$1:$G$1,0))</f>
        <v>11.25</v>
      </c>
      <c r="M353" s="7">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 MATCH(orders!I$1,  products!$A$1:$G$1,0))</f>
        <v>Exc</v>
      </c>
      <c r="J354" t="str">
        <f>INDEX(products!$A$1:$G$49,MATCH(orders!$D354,products!$A$1:$A$49,0), MATCH(orders!J$1,  products!$A$1:$G$1,0))</f>
        <v>D</v>
      </c>
      <c r="K354" s="4">
        <f>INDEX(products!$A$1:$G$49,MATCH(orders!$D354,products!$A$1:$A$49,0), MATCH(orders!K$1,  products!$A$1:$G$1,0))</f>
        <v>0.5</v>
      </c>
      <c r="L354" s="7">
        <f>INDEX(products!$A$1:$G$49,MATCH(orders!$D354,products!$A$1:$A$49,0), MATCH(orders!L$1,  products!$A$1:$G$1,0))</f>
        <v>7.29</v>
      </c>
      <c r="M354" s="7">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 MATCH(orders!I$1,  products!$A$1:$G$1,0))</f>
        <v>Ara</v>
      </c>
      <c r="J355" t="str">
        <f>INDEX(products!$A$1:$G$49,MATCH(orders!$D355,products!$A$1:$A$49,0), MATCH(orders!J$1,  products!$A$1:$G$1,0))</f>
        <v>M</v>
      </c>
      <c r="K355" s="4">
        <f>INDEX(products!$A$1:$G$49,MATCH(orders!$D355,products!$A$1:$A$49,0), MATCH(orders!K$1,  products!$A$1:$G$1,0))</f>
        <v>0.5</v>
      </c>
      <c r="L355" s="7">
        <f>INDEX(products!$A$1:$G$49,MATCH(orders!$D355,products!$A$1:$A$49,0), MATCH(orders!L$1,  products!$A$1:$G$1,0))</f>
        <v>6.75</v>
      </c>
      <c r="M355" s="7">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 MATCH(orders!I$1,  products!$A$1:$G$1,0))</f>
        <v>Ara</v>
      </c>
      <c r="J356" t="str">
        <f>INDEX(products!$A$1:$G$49,MATCH(orders!$D356,products!$A$1:$A$49,0), MATCH(orders!J$1,  products!$A$1:$G$1,0))</f>
        <v>M</v>
      </c>
      <c r="K356" s="4">
        <f>INDEX(products!$A$1:$G$49,MATCH(orders!$D356,products!$A$1:$A$49,0), MATCH(orders!K$1,  products!$A$1:$G$1,0))</f>
        <v>2.5</v>
      </c>
      <c r="L356" s="7">
        <f>INDEX(products!$A$1:$G$49,MATCH(orders!$D356,products!$A$1:$A$49,0), MATCH(orders!L$1,  products!$A$1:$G$1,0))</f>
        <v>25.874999999999996</v>
      </c>
      <c r="M356" s="7">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 MATCH(orders!I$1,  products!$A$1:$G$1,0))</f>
        <v>Ara</v>
      </c>
      <c r="J357" t="str">
        <f>INDEX(products!$A$1:$G$49,MATCH(orders!$D357,products!$A$1:$A$49,0), MATCH(orders!J$1,  products!$A$1:$G$1,0))</f>
        <v>D</v>
      </c>
      <c r="K357" s="4">
        <f>INDEX(products!$A$1:$G$49,MATCH(orders!$D357,products!$A$1:$A$49,0), MATCH(orders!K$1,  products!$A$1:$G$1,0))</f>
        <v>2.5</v>
      </c>
      <c r="L357" s="7">
        <f>INDEX(products!$A$1:$G$49,MATCH(orders!$D357,products!$A$1:$A$49,0), MATCH(orders!L$1,  products!$A$1:$G$1,0))</f>
        <v>22.884999999999998</v>
      </c>
      <c r="M357" s="7">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 MATCH(orders!I$1,  products!$A$1:$G$1,0))</f>
        <v>Lib</v>
      </c>
      <c r="J358" t="str">
        <f>INDEX(products!$A$1:$G$49,MATCH(orders!$D358,products!$A$1:$A$49,0), MATCH(orders!J$1,  products!$A$1:$G$1,0))</f>
        <v>D</v>
      </c>
      <c r="K358" s="4">
        <f>INDEX(products!$A$1:$G$49,MATCH(orders!$D358,products!$A$1:$A$49,0), MATCH(orders!K$1,  products!$A$1:$G$1,0))</f>
        <v>1</v>
      </c>
      <c r="L358" s="7">
        <f>INDEX(products!$A$1:$G$49,MATCH(orders!$D358,products!$A$1:$A$49,0), MATCH(orders!L$1,  products!$A$1:$G$1,0))</f>
        <v>12.95</v>
      </c>
      <c r="M358" s="7">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 MATCH(orders!I$1,  products!$A$1:$G$1,0))</f>
        <v>Ara</v>
      </c>
      <c r="J359" t="str">
        <f>INDEX(products!$A$1:$G$49,MATCH(orders!$D359,products!$A$1:$A$49,0), MATCH(orders!J$1,  products!$A$1:$G$1,0))</f>
        <v>M</v>
      </c>
      <c r="K359" s="4">
        <f>INDEX(products!$A$1:$G$49,MATCH(orders!$D359,products!$A$1:$A$49,0), MATCH(orders!K$1,  products!$A$1:$G$1,0))</f>
        <v>2.5</v>
      </c>
      <c r="L359" s="7">
        <f>INDEX(products!$A$1:$G$49,MATCH(orders!$D359,products!$A$1:$A$49,0), MATCH(orders!L$1,  products!$A$1:$G$1,0))</f>
        <v>25.874999999999996</v>
      </c>
      <c r="M359" s="7">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 MATCH(orders!I$1,  products!$A$1:$G$1,0))</f>
        <v>Ara</v>
      </c>
      <c r="J360" t="str">
        <f>INDEX(products!$A$1:$G$49,MATCH(orders!$D360,products!$A$1:$A$49,0), MATCH(orders!J$1,  products!$A$1:$G$1,0))</f>
        <v>L</v>
      </c>
      <c r="K360" s="4">
        <f>INDEX(products!$A$1:$G$49,MATCH(orders!$D360,products!$A$1:$A$49,0), MATCH(orders!K$1,  products!$A$1:$G$1,0))</f>
        <v>2.5</v>
      </c>
      <c r="L360" s="7">
        <f>INDEX(products!$A$1:$G$49,MATCH(orders!$D360,products!$A$1:$A$49,0), MATCH(orders!L$1,  products!$A$1:$G$1,0))</f>
        <v>29.784999999999997</v>
      </c>
      <c r="M360" s="7">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 MATCH(orders!I$1,  products!$A$1:$G$1,0))</f>
        <v>Rob</v>
      </c>
      <c r="J361" t="str">
        <f>INDEX(products!$A$1:$G$49,MATCH(orders!$D361,products!$A$1:$A$49,0), MATCH(orders!J$1,  products!$A$1:$G$1,0))</f>
        <v>L</v>
      </c>
      <c r="K361" s="4">
        <f>INDEX(products!$A$1:$G$49,MATCH(orders!$D361,products!$A$1:$A$49,0), MATCH(orders!K$1,  products!$A$1:$G$1,0))</f>
        <v>0.2</v>
      </c>
      <c r="L361" s="7">
        <f>INDEX(products!$A$1:$G$49,MATCH(orders!$D361,products!$A$1:$A$49,0), MATCH(orders!L$1,  products!$A$1:$G$1,0))</f>
        <v>3.5849999999999995</v>
      </c>
      <c r="M361" s="7">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 MATCH(orders!I$1,  products!$A$1:$G$1,0))</f>
        <v>Rob</v>
      </c>
      <c r="J362" t="str">
        <f>INDEX(products!$A$1:$G$49,MATCH(orders!$D362,products!$A$1:$A$49,0), MATCH(orders!J$1,  products!$A$1:$G$1,0))</f>
        <v>D</v>
      </c>
      <c r="K362" s="4">
        <f>INDEX(products!$A$1:$G$49,MATCH(orders!$D362,products!$A$1:$A$49,0), MATCH(orders!K$1,  products!$A$1:$G$1,0))</f>
        <v>2.5</v>
      </c>
      <c r="L362" s="7">
        <f>INDEX(products!$A$1:$G$49,MATCH(orders!$D362,products!$A$1:$A$49,0), MATCH(orders!L$1,  products!$A$1:$G$1,0))</f>
        <v>20.584999999999997</v>
      </c>
      <c r="M362" s="7">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 MATCH(orders!I$1,  products!$A$1:$G$1,0))</f>
        <v>Rob</v>
      </c>
      <c r="J363" t="str">
        <f>INDEX(products!$A$1:$G$49,MATCH(orders!$D363,products!$A$1:$A$49,0), MATCH(orders!J$1,  products!$A$1:$G$1,0))</f>
        <v>M</v>
      </c>
      <c r="K363" s="4">
        <f>INDEX(products!$A$1:$G$49,MATCH(orders!$D363,products!$A$1:$A$49,0), MATCH(orders!K$1,  products!$A$1:$G$1,0))</f>
        <v>0.5</v>
      </c>
      <c r="L363" s="7">
        <f>INDEX(products!$A$1:$G$49,MATCH(orders!$D363,products!$A$1:$A$49,0), MATCH(orders!L$1,  products!$A$1:$G$1,0))</f>
        <v>5.97</v>
      </c>
      <c r="M363" s="7">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 MATCH(orders!I$1,  products!$A$1:$G$1,0))</f>
        <v>Exc</v>
      </c>
      <c r="J364" t="str">
        <f>INDEX(products!$A$1:$G$49,MATCH(orders!$D364,products!$A$1:$A$49,0), MATCH(orders!J$1,  products!$A$1:$G$1,0))</f>
        <v>L</v>
      </c>
      <c r="K364" s="4">
        <f>INDEX(products!$A$1:$G$49,MATCH(orders!$D364,products!$A$1:$A$49,0), MATCH(orders!K$1,  products!$A$1:$G$1,0))</f>
        <v>1</v>
      </c>
      <c r="L364" s="7">
        <f>INDEX(products!$A$1:$G$49,MATCH(orders!$D364,products!$A$1:$A$49,0), MATCH(orders!L$1,  products!$A$1:$G$1,0))</f>
        <v>14.85</v>
      </c>
      <c r="M364" s="7">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 MATCH(orders!I$1,  products!$A$1:$G$1,0))</f>
        <v>Lib</v>
      </c>
      <c r="J365" t="str">
        <f>INDEX(products!$A$1:$G$49,MATCH(orders!$D365,products!$A$1:$A$49,0), MATCH(orders!J$1,  products!$A$1:$G$1,0))</f>
        <v>M</v>
      </c>
      <c r="K365" s="4">
        <f>INDEX(products!$A$1:$G$49,MATCH(orders!$D365,products!$A$1:$A$49,0), MATCH(orders!K$1,  products!$A$1:$G$1,0))</f>
        <v>1</v>
      </c>
      <c r="L365" s="7">
        <f>INDEX(products!$A$1:$G$49,MATCH(orders!$D365,products!$A$1:$A$49,0), MATCH(orders!L$1,  products!$A$1:$G$1,0))</f>
        <v>14.55</v>
      </c>
      <c r="M365" s="7">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 MATCH(orders!I$1,  products!$A$1:$G$1,0))</f>
        <v>Exc</v>
      </c>
      <c r="J366" t="str">
        <f>INDEX(products!$A$1:$G$49,MATCH(orders!$D366,products!$A$1:$A$49,0), MATCH(orders!J$1,  products!$A$1:$G$1,0))</f>
        <v>D</v>
      </c>
      <c r="K366" s="4">
        <f>INDEX(products!$A$1:$G$49,MATCH(orders!$D366,products!$A$1:$A$49,0), MATCH(orders!K$1,  products!$A$1:$G$1,0))</f>
        <v>1</v>
      </c>
      <c r="L366" s="7">
        <f>INDEX(products!$A$1:$G$49,MATCH(orders!$D366,products!$A$1:$A$49,0), MATCH(orders!L$1,  products!$A$1:$G$1,0))</f>
        <v>12.15</v>
      </c>
      <c r="M366" s="7">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 MATCH(orders!I$1,  products!$A$1:$G$1,0))</f>
        <v>Lib</v>
      </c>
      <c r="J367" t="str">
        <f>INDEX(products!$A$1:$G$49,MATCH(orders!$D367,products!$A$1:$A$49,0), MATCH(orders!J$1,  products!$A$1:$G$1,0))</f>
        <v>D</v>
      </c>
      <c r="K367" s="4">
        <f>INDEX(products!$A$1:$G$49,MATCH(orders!$D367,products!$A$1:$A$49,0), MATCH(orders!K$1,  products!$A$1:$G$1,0))</f>
        <v>0.5</v>
      </c>
      <c r="L367" s="7">
        <f>INDEX(products!$A$1:$G$49,MATCH(orders!$D367,products!$A$1:$A$49,0), MATCH(orders!L$1,  products!$A$1:$G$1,0))</f>
        <v>7.77</v>
      </c>
      <c r="M367" s="7">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 MATCH(orders!I$1,  products!$A$1:$G$1,0))</f>
        <v>Exc</v>
      </c>
      <c r="J368" t="str">
        <f>INDEX(products!$A$1:$G$49,MATCH(orders!$D368,products!$A$1:$A$49,0), MATCH(orders!J$1,  products!$A$1:$G$1,0))</f>
        <v>D</v>
      </c>
      <c r="K368" s="4">
        <f>INDEX(products!$A$1:$G$49,MATCH(orders!$D368,products!$A$1:$A$49,0), MATCH(orders!K$1,  products!$A$1:$G$1,0))</f>
        <v>0.5</v>
      </c>
      <c r="L368" s="7">
        <f>INDEX(products!$A$1:$G$49,MATCH(orders!$D368,products!$A$1:$A$49,0), MATCH(orders!L$1,  products!$A$1:$G$1,0))</f>
        <v>7.29</v>
      </c>
      <c r="M368" s="7">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 MATCH(orders!I$1,  products!$A$1:$G$1,0))</f>
        <v>Lib</v>
      </c>
      <c r="J369" t="str">
        <f>INDEX(products!$A$1:$G$49,MATCH(orders!$D369,products!$A$1:$A$49,0), MATCH(orders!J$1,  products!$A$1:$G$1,0))</f>
        <v>M</v>
      </c>
      <c r="K369" s="4">
        <f>INDEX(products!$A$1:$G$49,MATCH(orders!$D369,products!$A$1:$A$49,0), MATCH(orders!K$1,  products!$A$1:$G$1,0))</f>
        <v>0.2</v>
      </c>
      <c r="L369" s="7">
        <f>INDEX(products!$A$1:$G$49,MATCH(orders!$D369,products!$A$1:$A$49,0), MATCH(orders!L$1,  products!$A$1:$G$1,0))</f>
        <v>4.3650000000000002</v>
      </c>
      <c r="M369" s="7">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 MATCH(orders!I$1,  products!$A$1:$G$1,0))</f>
        <v>Exc</v>
      </c>
      <c r="J370" t="str">
        <f>INDEX(products!$A$1:$G$49,MATCH(orders!$D370,products!$A$1:$A$49,0), MATCH(orders!J$1,  products!$A$1:$G$1,0))</f>
        <v>M</v>
      </c>
      <c r="K370" s="4">
        <f>INDEX(products!$A$1:$G$49,MATCH(orders!$D370,products!$A$1:$A$49,0), MATCH(orders!K$1,  products!$A$1:$G$1,0))</f>
        <v>2.5</v>
      </c>
      <c r="L370" s="7">
        <f>INDEX(products!$A$1:$G$49,MATCH(orders!$D370,products!$A$1:$A$49,0), MATCH(orders!L$1,  products!$A$1:$G$1,0))</f>
        <v>31.624999999999996</v>
      </c>
      <c r="M370" s="7">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 MATCH(orders!I$1,  products!$A$1:$G$1,0))</f>
        <v>Exc</v>
      </c>
      <c r="J371" t="str">
        <f>INDEX(products!$A$1:$G$49,MATCH(orders!$D371,products!$A$1:$A$49,0), MATCH(orders!J$1,  products!$A$1:$G$1,0))</f>
        <v>L</v>
      </c>
      <c r="K371" s="4">
        <f>INDEX(products!$A$1:$G$49,MATCH(orders!$D371,products!$A$1:$A$49,0), MATCH(orders!K$1,  products!$A$1:$G$1,0))</f>
        <v>0.5</v>
      </c>
      <c r="L371" s="7">
        <f>INDEX(products!$A$1:$G$49,MATCH(orders!$D371,products!$A$1:$A$49,0), MATCH(orders!L$1,  products!$A$1:$G$1,0))</f>
        <v>8.91</v>
      </c>
      <c r="M371" s="7">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 MATCH(orders!I$1,  products!$A$1:$G$1,0))</f>
        <v>Exc</v>
      </c>
      <c r="J372" t="str">
        <f>INDEX(products!$A$1:$G$49,MATCH(orders!$D372,products!$A$1:$A$49,0), MATCH(orders!J$1,  products!$A$1:$G$1,0))</f>
        <v>D</v>
      </c>
      <c r="K372" s="4">
        <f>INDEX(products!$A$1:$G$49,MATCH(orders!$D372,products!$A$1:$A$49,0), MATCH(orders!K$1,  products!$A$1:$G$1,0))</f>
        <v>1</v>
      </c>
      <c r="L372" s="7">
        <f>INDEX(products!$A$1:$G$49,MATCH(orders!$D372,products!$A$1:$A$49,0), MATCH(orders!L$1,  products!$A$1:$G$1,0))</f>
        <v>12.15</v>
      </c>
      <c r="M372" s="7">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 MATCH(orders!I$1,  products!$A$1:$G$1,0))</f>
        <v>Ara</v>
      </c>
      <c r="J373" t="str">
        <f>INDEX(products!$A$1:$G$49,MATCH(orders!$D373,products!$A$1:$A$49,0), MATCH(orders!J$1,  products!$A$1:$G$1,0))</f>
        <v>L</v>
      </c>
      <c r="K373" s="4">
        <f>INDEX(products!$A$1:$G$49,MATCH(orders!$D373,products!$A$1:$A$49,0), MATCH(orders!K$1,  products!$A$1:$G$1,0))</f>
        <v>0.5</v>
      </c>
      <c r="L373" s="7">
        <f>INDEX(products!$A$1:$G$49,MATCH(orders!$D373,products!$A$1:$A$49,0), MATCH(orders!L$1,  products!$A$1:$G$1,0))</f>
        <v>7.77</v>
      </c>
      <c r="M373" s="7">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 MATCH(orders!I$1,  products!$A$1:$G$1,0))</f>
        <v>Rob</v>
      </c>
      <c r="J374" t="str">
        <f>INDEX(products!$A$1:$G$49,MATCH(orders!$D374,products!$A$1:$A$49,0), MATCH(orders!J$1,  products!$A$1:$G$1,0))</f>
        <v>L</v>
      </c>
      <c r="K374" s="4">
        <f>INDEX(products!$A$1:$G$49,MATCH(orders!$D374,products!$A$1:$A$49,0), MATCH(orders!K$1,  products!$A$1:$G$1,0))</f>
        <v>0.5</v>
      </c>
      <c r="L374" s="7">
        <f>INDEX(products!$A$1:$G$49,MATCH(orders!$D374,products!$A$1:$A$49,0), MATCH(orders!L$1,  products!$A$1:$G$1,0))</f>
        <v>7.169999999999999</v>
      </c>
      <c r="M374" s="7">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 MATCH(orders!I$1,  products!$A$1:$G$1,0))</f>
        <v>Ara</v>
      </c>
      <c r="J375" t="str">
        <f>INDEX(products!$A$1:$G$49,MATCH(orders!$D375,products!$A$1:$A$49,0), MATCH(orders!J$1,  products!$A$1:$G$1,0))</f>
        <v>D</v>
      </c>
      <c r="K375" s="4">
        <f>INDEX(products!$A$1:$G$49,MATCH(orders!$D375,products!$A$1:$A$49,0), MATCH(orders!K$1,  products!$A$1:$G$1,0))</f>
        <v>0.5</v>
      </c>
      <c r="L375" s="7">
        <f>INDEX(products!$A$1:$G$49,MATCH(orders!$D375,products!$A$1:$A$49,0), MATCH(orders!L$1,  products!$A$1:$G$1,0))</f>
        <v>5.97</v>
      </c>
      <c r="M375" s="7">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 MATCH(orders!I$1,  products!$A$1:$G$1,0))</f>
        <v>Lib</v>
      </c>
      <c r="J376" t="str">
        <f>INDEX(products!$A$1:$G$49,MATCH(orders!$D376,products!$A$1:$A$49,0), MATCH(orders!J$1,  products!$A$1:$G$1,0))</f>
        <v>L</v>
      </c>
      <c r="K376" s="4">
        <f>INDEX(products!$A$1:$G$49,MATCH(orders!$D376,products!$A$1:$A$49,0), MATCH(orders!K$1,  products!$A$1:$G$1,0))</f>
        <v>0.5</v>
      </c>
      <c r="L376" s="7">
        <f>INDEX(products!$A$1:$G$49,MATCH(orders!$D376,products!$A$1:$A$49,0), MATCH(orders!L$1,  products!$A$1:$G$1,0))</f>
        <v>9.51</v>
      </c>
      <c r="M376" s="7">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 MATCH(orders!I$1,  products!$A$1:$G$1,0))</f>
        <v>Ara</v>
      </c>
      <c r="J377" t="str">
        <f>INDEX(products!$A$1:$G$49,MATCH(orders!$D377,products!$A$1:$A$49,0), MATCH(orders!J$1,  products!$A$1:$G$1,0))</f>
        <v>M</v>
      </c>
      <c r="K377" s="4">
        <f>INDEX(products!$A$1:$G$49,MATCH(orders!$D377,products!$A$1:$A$49,0), MATCH(orders!K$1,  products!$A$1:$G$1,0))</f>
        <v>0.2</v>
      </c>
      <c r="L377" s="7">
        <f>INDEX(products!$A$1:$G$49,MATCH(orders!$D377,products!$A$1:$A$49,0), MATCH(orders!L$1,  products!$A$1:$G$1,0))</f>
        <v>3.375</v>
      </c>
      <c r="M377" s="7">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 MATCH(orders!I$1,  products!$A$1:$G$1,0))</f>
        <v>Rob</v>
      </c>
      <c r="J378" t="str">
        <f>INDEX(products!$A$1:$G$49,MATCH(orders!$D378,products!$A$1:$A$49,0), MATCH(orders!J$1,  products!$A$1:$G$1,0))</f>
        <v>M</v>
      </c>
      <c r="K378" s="4">
        <f>INDEX(products!$A$1:$G$49,MATCH(orders!$D378,products!$A$1:$A$49,0), MATCH(orders!K$1,  products!$A$1:$G$1,0))</f>
        <v>0.5</v>
      </c>
      <c r="L378" s="7">
        <f>INDEX(products!$A$1:$G$49,MATCH(orders!$D378,products!$A$1:$A$49,0), MATCH(orders!L$1,  products!$A$1:$G$1,0))</f>
        <v>5.97</v>
      </c>
      <c r="M378" s="7">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 MATCH(orders!I$1,  products!$A$1:$G$1,0))</f>
        <v>Rob</v>
      </c>
      <c r="J379" t="str">
        <f>INDEX(products!$A$1:$G$49,MATCH(orders!$D379,products!$A$1:$A$49,0), MATCH(orders!J$1,  products!$A$1:$G$1,0))</f>
        <v>D</v>
      </c>
      <c r="K379" s="4">
        <f>INDEX(products!$A$1:$G$49,MATCH(orders!$D379,products!$A$1:$A$49,0), MATCH(orders!K$1,  products!$A$1:$G$1,0))</f>
        <v>0.2</v>
      </c>
      <c r="L379" s="7">
        <f>INDEX(products!$A$1:$G$49,MATCH(orders!$D379,products!$A$1:$A$49,0), MATCH(orders!L$1,  products!$A$1:$G$1,0))</f>
        <v>2.6849999999999996</v>
      </c>
      <c r="M379" s="7">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 MATCH(orders!I$1,  products!$A$1:$G$1,0))</f>
        <v>Ara</v>
      </c>
      <c r="J380" t="str">
        <f>INDEX(products!$A$1:$G$49,MATCH(orders!$D380,products!$A$1:$A$49,0), MATCH(orders!J$1,  products!$A$1:$G$1,0))</f>
        <v>L</v>
      </c>
      <c r="K380" s="4">
        <f>INDEX(products!$A$1:$G$49,MATCH(orders!$D380,products!$A$1:$A$49,0), MATCH(orders!K$1,  products!$A$1:$G$1,0))</f>
        <v>0.5</v>
      </c>
      <c r="L380" s="7">
        <f>INDEX(products!$A$1:$G$49,MATCH(orders!$D380,products!$A$1:$A$49,0), MATCH(orders!L$1,  products!$A$1:$G$1,0))</f>
        <v>7.77</v>
      </c>
      <c r="M380" s="7">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 MATCH(orders!I$1,  products!$A$1:$G$1,0))</f>
        <v>Rob</v>
      </c>
      <c r="J381" t="str">
        <f>INDEX(products!$A$1:$G$49,MATCH(orders!$D381,products!$A$1:$A$49,0), MATCH(orders!J$1,  products!$A$1:$G$1,0))</f>
        <v>L</v>
      </c>
      <c r="K381" s="4">
        <f>INDEX(products!$A$1:$G$49,MATCH(orders!$D381,products!$A$1:$A$49,0), MATCH(orders!K$1,  products!$A$1:$G$1,0))</f>
        <v>0.5</v>
      </c>
      <c r="L381" s="7">
        <f>INDEX(products!$A$1:$G$49,MATCH(orders!$D381,products!$A$1:$A$49,0), MATCH(orders!L$1,  products!$A$1:$G$1,0))</f>
        <v>7.169999999999999</v>
      </c>
      <c r="M381" s="7">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 MATCH(orders!I$1,  products!$A$1:$G$1,0))</f>
        <v>Lib</v>
      </c>
      <c r="J382" t="str">
        <f>INDEX(products!$A$1:$G$49,MATCH(orders!$D382,products!$A$1:$A$49,0), MATCH(orders!J$1,  products!$A$1:$G$1,0))</f>
        <v>D</v>
      </c>
      <c r="K382" s="4">
        <f>INDEX(products!$A$1:$G$49,MATCH(orders!$D382,products!$A$1:$A$49,0), MATCH(orders!K$1,  products!$A$1:$G$1,0))</f>
        <v>0.5</v>
      </c>
      <c r="L382" s="7">
        <f>INDEX(products!$A$1:$G$49,MATCH(orders!$D382,products!$A$1:$A$49,0), MATCH(orders!L$1,  products!$A$1:$G$1,0))</f>
        <v>7.77</v>
      </c>
      <c r="M382" s="7">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 MATCH(orders!I$1,  products!$A$1:$G$1,0))</f>
        <v>Ara</v>
      </c>
      <c r="J383" t="str">
        <f>INDEX(products!$A$1:$G$49,MATCH(orders!$D383,products!$A$1:$A$49,0), MATCH(orders!J$1,  products!$A$1:$G$1,0))</f>
        <v>D</v>
      </c>
      <c r="K383" s="4">
        <f>INDEX(products!$A$1:$G$49,MATCH(orders!$D383,products!$A$1:$A$49,0), MATCH(orders!K$1,  products!$A$1:$G$1,0))</f>
        <v>0.2</v>
      </c>
      <c r="L383" s="7">
        <f>INDEX(products!$A$1:$G$49,MATCH(orders!$D383,products!$A$1:$A$49,0), MATCH(orders!L$1,  products!$A$1:$G$1,0))</f>
        <v>2.9849999999999999</v>
      </c>
      <c r="M383" s="7">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 MATCH(orders!I$1,  products!$A$1:$G$1,0))</f>
        <v>Exc</v>
      </c>
      <c r="J384" t="str">
        <f>INDEX(products!$A$1:$G$49,MATCH(orders!$D384,products!$A$1:$A$49,0), MATCH(orders!J$1,  products!$A$1:$G$1,0))</f>
        <v>D</v>
      </c>
      <c r="K384" s="4">
        <f>INDEX(products!$A$1:$G$49,MATCH(orders!$D384,products!$A$1:$A$49,0), MATCH(orders!K$1,  products!$A$1:$G$1,0))</f>
        <v>0.5</v>
      </c>
      <c r="L384" s="7">
        <f>INDEX(products!$A$1:$G$49,MATCH(orders!$D384,products!$A$1:$A$49,0), MATCH(orders!L$1,  products!$A$1:$G$1,0))</f>
        <v>7.29</v>
      </c>
      <c r="M384" s="7">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 MATCH(orders!I$1,  products!$A$1:$G$1,0))</f>
        <v>Exc</v>
      </c>
      <c r="J385" t="str">
        <f>INDEX(products!$A$1:$G$49,MATCH(orders!$D385,products!$A$1:$A$49,0), MATCH(orders!J$1,  products!$A$1:$G$1,0))</f>
        <v>L</v>
      </c>
      <c r="K385" s="4">
        <f>INDEX(products!$A$1:$G$49,MATCH(orders!$D385,products!$A$1:$A$49,0), MATCH(orders!K$1,  products!$A$1:$G$1,0))</f>
        <v>0.5</v>
      </c>
      <c r="L385" s="7">
        <f>INDEX(products!$A$1:$G$49,MATCH(orders!$D385,products!$A$1:$A$49,0), MATCH(orders!L$1,  products!$A$1:$G$1,0))</f>
        <v>8.91</v>
      </c>
      <c r="M385" s="7">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 MATCH(orders!I$1,  products!$A$1:$G$1,0))</f>
        <v>Ara</v>
      </c>
      <c r="J386" t="str">
        <f>INDEX(products!$A$1:$G$49,MATCH(orders!$D386,products!$A$1:$A$49,0), MATCH(orders!J$1,  products!$A$1:$G$1,0))</f>
        <v>L</v>
      </c>
      <c r="K386" s="4">
        <f>INDEX(products!$A$1:$G$49,MATCH(orders!$D386,products!$A$1:$A$49,0), MATCH(orders!K$1,  products!$A$1:$G$1,0))</f>
        <v>2.5</v>
      </c>
      <c r="L386" s="7">
        <f>INDEX(products!$A$1:$G$49,MATCH(orders!$D386,products!$A$1:$A$49,0), MATCH(orders!L$1,  products!$A$1:$G$1,0))</f>
        <v>29.784999999999997</v>
      </c>
      <c r="M386" s="7">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 MATCH(orders!I$1,  products!$A$1:$G$1,0))</f>
        <v>Lib</v>
      </c>
      <c r="J387" t="str">
        <f>INDEX(products!$A$1:$G$49,MATCH(orders!$D387,products!$A$1:$A$49,0), MATCH(orders!J$1,  products!$A$1:$G$1,0))</f>
        <v>M</v>
      </c>
      <c r="K387" s="4">
        <f>INDEX(products!$A$1:$G$49,MATCH(orders!$D387,products!$A$1:$A$49,0), MATCH(orders!K$1,  products!$A$1:$G$1,0))</f>
        <v>0.5</v>
      </c>
      <c r="L387" s="7">
        <f>INDEX(products!$A$1:$G$49,MATCH(orders!$D387,products!$A$1:$A$49,0), MATCH(orders!L$1,  products!$A$1:$G$1,0))</f>
        <v>8.73</v>
      </c>
      <c r="M387" s="7">
        <f t="shared" ref="M387:M450" si="18">L387*E387</f>
        <v>43.650000000000006</v>
      </c>
      <c r="N387" t="str">
        <f t="shared" ref="N387:N450" si="19">IF(I387="Rob","Robusta", IF(I387="Exc","Excelsa", IF(I387="Ara", "Arabica", IF(I387="Lib", "Liberica", ""))))</f>
        <v>Liberica</v>
      </c>
      <c r="O387" t="str">
        <f t="shared" ref="O387:O450" si="20">IF(J387="M", "Medium", IF(J387="L", "Light",IF(J387="D","Dark","")))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 MATCH(orders!I$1,  products!$A$1:$G$1,0))</f>
        <v>Ara</v>
      </c>
      <c r="J388" t="str">
        <f>INDEX(products!$A$1:$G$49,MATCH(orders!$D388,products!$A$1:$A$49,0), MATCH(orders!J$1,  products!$A$1:$G$1,0))</f>
        <v>D</v>
      </c>
      <c r="K388" s="4">
        <f>INDEX(products!$A$1:$G$49,MATCH(orders!$D388,products!$A$1:$A$49,0), MATCH(orders!K$1,  products!$A$1:$G$1,0))</f>
        <v>0.2</v>
      </c>
      <c r="L388" s="7">
        <f>INDEX(products!$A$1:$G$49,MATCH(orders!$D388,products!$A$1:$A$49,0), MATCH(orders!L$1,  products!$A$1:$G$1,0))</f>
        <v>2.9849999999999999</v>
      </c>
      <c r="M388" s="7">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 MATCH(orders!I$1,  products!$A$1:$G$1,0))</f>
        <v>Exc</v>
      </c>
      <c r="J389" t="str">
        <f>INDEX(products!$A$1:$G$49,MATCH(orders!$D389,products!$A$1:$A$49,0), MATCH(orders!J$1,  products!$A$1:$G$1,0))</f>
        <v>L</v>
      </c>
      <c r="K389" s="4">
        <f>INDEX(products!$A$1:$G$49,MATCH(orders!$D389,products!$A$1:$A$49,0), MATCH(orders!K$1,  products!$A$1:$G$1,0))</f>
        <v>1</v>
      </c>
      <c r="L389" s="7">
        <f>INDEX(products!$A$1:$G$49,MATCH(orders!$D389,products!$A$1:$A$49,0), MATCH(orders!L$1,  products!$A$1:$G$1,0))</f>
        <v>14.85</v>
      </c>
      <c r="M389" s="7">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 MATCH(orders!I$1,  products!$A$1:$G$1,0))</f>
        <v>Lib</v>
      </c>
      <c r="J390" t="str">
        <f>INDEX(products!$A$1:$G$49,MATCH(orders!$D390,products!$A$1:$A$49,0), MATCH(orders!J$1,  products!$A$1:$G$1,0))</f>
        <v>D</v>
      </c>
      <c r="K390" s="4">
        <f>INDEX(products!$A$1:$G$49,MATCH(orders!$D390,products!$A$1:$A$49,0), MATCH(orders!K$1,  products!$A$1:$G$1,0))</f>
        <v>0.2</v>
      </c>
      <c r="L390" s="7">
        <f>INDEX(products!$A$1:$G$49,MATCH(orders!$D390,products!$A$1:$A$49,0), MATCH(orders!L$1,  products!$A$1:$G$1,0))</f>
        <v>3.8849999999999998</v>
      </c>
      <c r="M390" s="7">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 MATCH(orders!I$1,  products!$A$1:$G$1,0))</f>
        <v>Lib</v>
      </c>
      <c r="J391" t="str">
        <f>INDEX(products!$A$1:$G$49,MATCH(orders!$D391,products!$A$1:$A$49,0), MATCH(orders!J$1,  products!$A$1:$G$1,0))</f>
        <v>D</v>
      </c>
      <c r="K391" s="4">
        <f>INDEX(products!$A$1:$G$49,MATCH(orders!$D391,products!$A$1:$A$49,0), MATCH(orders!K$1,  products!$A$1:$G$1,0))</f>
        <v>0.5</v>
      </c>
      <c r="L391" s="7">
        <f>INDEX(products!$A$1:$G$49,MATCH(orders!$D391,products!$A$1:$A$49,0), MATCH(orders!L$1,  products!$A$1:$G$1,0))</f>
        <v>7.77</v>
      </c>
      <c r="M391" s="7">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 MATCH(orders!I$1,  products!$A$1:$G$1,0))</f>
        <v>Exc</v>
      </c>
      <c r="J392" t="str">
        <f>INDEX(products!$A$1:$G$49,MATCH(orders!$D392,products!$A$1:$A$49,0), MATCH(orders!J$1,  products!$A$1:$G$1,0))</f>
        <v>D</v>
      </c>
      <c r="K392" s="4">
        <f>INDEX(products!$A$1:$G$49,MATCH(orders!$D392,products!$A$1:$A$49,0), MATCH(orders!K$1,  products!$A$1:$G$1,0))</f>
        <v>0.5</v>
      </c>
      <c r="L392" s="7">
        <f>INDEX(products!$A$1:$G$49,MATCH(orders!$D392,products!$A$1:$A$49,0), MATCH(orders!L$1,  products!$A$1:$G$1,0))</f>
        <v>7.29</v>
      </c>
      <c r="M392" s="7">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 MATCH(orders!I$1,  products!$A$1:$G$1,0))</f>
        <v>Ara</v>
      </c>
      <c r="J393" t="str">
        <f>INDEX(products!$A$1:$G$49,MATCH(orders!$D393,products!$A$1:$A$49,0), MATCH(orders!J$1,  products!$A$1:$G$1,0))</f>
        <v>M</v>
      </c>
      <c r="K393" s="4">
        <f>INDEX(products!$A$1:$G$49,MATCH(orders!$D393,products!$A$1:$A$49,0), MATCH(orders!K$1,  products!$A$1:$G$1,0))</f>
        <v>0.5</v>
      </c>
      <c r="L393" s="7">
        <f>INDEX(products!$A$1:$G$49,MATCH(orders!$D393,products!$A$1:$A$49,0), MATCH(orders!L$1,  products!$A$1:$G$1,0))</f>
        <v>6.75</v>
      </c>
      <c r="M393" s="7">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 MATCH(orders!I$1,  products!$A$1:$G$1,0))</f>
        <v>Exc</v>
      </c>
      <c r="J394" t="str">
        <f>INDEX(products!$A$1:$G$49,MATCH(orders!$D394,products!$A$1:$A$49,0), MATCH(orders!J$1,  products!$A$1:$G$1,0))</f>
        <v>L</v>
      </c>
      <c r="K394" s="4">
        <f>INDEX(products!$A$1:$G$49,MATCH(orders!$D394,products!$A$1:$A$49,0), MATCH(orders!K$1,  products!$A$1:$G$1,0))</f>
        <v>1</v>
      </c>
      <c r="L394" s="7">
        <f>INDEX(products!$A$1:$G$49,MATCH(orders!$D394,products!$A$1:$A$49,0), MATCH(orders!L$1,  products!$A$1:$G$1,0))</f>
        <v>14.85</v>
      </c>
      <c r="M394" s="7">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 MATCH(orders!I$1,  products!$A$1:$G$1,0))</f>
        <v>Ara</v>
      </c>
      <c r="J395" t="str">
        <f>INDEX(products!$A$1:$G$49,MATCH(orders!$D395,products!$A$1:$A$49,0), MATCH(orders!J$1,  products!$A$1:$G$1,0))</f>
        <v>L</v>
      </c>
      <c r="K395" s="4">
        <f>INDEX(products!$A$1:$G$49,MATCH(orders!$D395,products!$A$1:$A$49,0), MATCH(orders!K$1,  products!$A$1:$G$1,0))</f>
        <v>0.2</v>
      </c>
      <c r="L395" s="7">
        <f>INDEX(products!$A$1:$G$49,MATCH(orders!$D395,products!$A$1:$A$49,0), MATCH(orders!L$1,  products!$A$1:$G$1,0))</f>
        <v>3.8849999999999998</v>
      </c>
      <c r="M395" s="7">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 MATCH(orders!I$1,  products!$A$1:$G$1,0))</f>
        <v>Rob</v>
      </c>
      <c r="J396" t="str">
        <f>INDEX(products!$A$1:$G$49,MATCH(orders!$D396,products!$A$1:$A$49,0), MATCH(orders!J$1,  products!$A$1:$G$1,0))</f>
        <v>L</v>
      </c>
      <c r="K396" s="4">
        <f>INDEX(products!$A$1:$G$49,MATCH(orders!$D396,products!$A$1:$A$49,0), MATCH(orders!K$1,  products!$A$1:$G$1,0))</f>
        <v>2.5</v>
      </c>
      <c r="L396" s="7">
        <f>INDEX(products!$A$1:$G$49,MATCH(orders!$D396,products!$A$1:$A$49,0), MATCH(orders!L$1,  products!$A$1:$G$1,0))</f>
        <v>27.484999999999996</v>
      </c>
      <c r="M396" s="7">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 MATCH(orders!I$1,  products!$A$1:$G$1,0))</f>
        <v>Lib</v>
      </c>
      <c r="J397" t="str">
        <f>INDEX(products!$A$1:$G$49,MATCH(orders!$D397,products!$A$1:$A$49,0), MATCH(orders!J$1,  products!$A$1:$G$1,0))</f>
        <v>D</v>
      </c>
      <c r="K397" s="4">
        <f>INDEX(products!$A$1:$G$49,MATCH(orders!$D397,products!$A$1:$A$49,0), MATCH(orders!K$1,  products!$A$1:$G$1,0))</f>
        <v>0.5</v>
      </c>
      <c r="L397" s="7">
        <f>INDEX(products!$A$1:$G$49,MATCH(orders!$D397,products!$A$1:$A$49,0), MATCH(orders!L$1,  products!$A$1:$G$1,0))</f>
        <v>7.77</v>
      </c>
      <c r="M397" s="7">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 MATCH(orders!I$1,  products!$A$1:$G$1,0))</f>
        <v>Ara</v>
      </c>
      <c r="J398" t="str">
        <f>INDEX(products!$A$1:$G$49,MATCH(orders!$D398,products!$A$1:$A$49,0), MATCH(orders!J$1,  products!$A$1:$G$1,0))</f>
        <v>L</v>
      </c>
      <c r="K398" s="4">
        <f>INDEX(products!$A$1:$G$49,MATCH(orders!$D398,products!$A$1:$A$49,0), MATCH(orders!K$1,  products!$A$1:$G$1,0))</f>
        <v>0.5</v>
      </c>
      <c r="L398" s="7">
        <f>INDEX(products!$A$1:$G$49,MATCH(orders!$D398,products!$A$1:$A$49,0), MATCH(orders!L$1,  products!$A$1:$G$1,0))</f>
        <v>7.77</v>
      </c>
      <c r="M398" s="7">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 MATCH(orders!I$1,  products!$A$1:$G$1,0))</f>
        <v>Lib</v>
      </c>
      <c r="J399" t="str">
        <f>INDEX(products!$A$1:$G$49,MATCH(orders!$D399,products!$A$1:$A$49,0), MATCH(orders!J$1,  products!$A$1:$G$1,0))</f>
        <v>D</v>
      </c>
      <c r="K399" s="4">
        <f>INDEX(products!$A$1:$G$49,MATCH(orders!$D399,products!$A$1:$A$49,0), MATCH(orders!K$1,  products!$A$1:$G$1,0))</f>
        <v>0.5</v>
      </c>
      <c r="L399" s="7">
        <f>INDEX(products!$A$1:$G$49,MATCH(orders!$D399,products!$A$1:$A$49,0), MATCH(orders!L$1,  products!$A$1:$G$1,0))</f>
        <v>7.77</v>
      </c>
      <c r="M399" s="7">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 MATCH(orders!I$1,  products!$A$1:$G$1,0))</f>
        <v>Ara</v>
      </c>
      <c r="J400" t="str">
        <f>INDEX(products!$A$1:$G$49,MATCH(orders!$D400,products!$A$1:$A$49,0), MATCH(orders!J$1,  products!$A$1:$G$1,0))</f>
        <v>D</v>
      </c>
      <c r="K400" s="4">
        <f>INDEX(products!$A$1:$G$49,MATCH(orders!$D400,products!$A$1:$A$49,0), MATCH(orders!K$1,  products!$A$1:$G$1,0))</f>
        <v>0.2</v>
      </c>
      <c r="L400" s="7">
        <f>INDEX(products!$A$1:$G$49,MATCH(orders!$D400,products!$A$1:$A$49,0), MATCH(orders!L$1,  products!$A$1:$G$1,0))</f>
        <v>2.9849999999999999</v>
      </c>
      <c r="M400" s="7">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 MATCH(orders!I$1,  products!$A$1:$G$1,0))</f>
        <v>Exc</v>
      </c>
      <c r="J401" t="str">
        <f>INDEX(products!$A$1:$G$49,MATCH(orders!$D401,products!$A$1:$A$49,0), MATCH(orders!J$1,  products!$A$1:$G$1,0))</f>
        <v>D</v>
      </c>
      <c r="K401" s="4">
        <f>INDEX(products!$A$1:$G$49,MATCH(orders!$D401,products!$A$1:$A$49,0), MATCH(orders!K$1,  products!$A$1:$G$1,0))</f>
        <v>2.5</v>
      </c>
      <c r="L401" s="7">
        <f>INDEX(products!$A$1:$G$49,MATCH(orders!$D401,products!$A$1:$A$49,0), MATCH(orders!L$1,  products!$A$1:$G$1,0))</f>
        <v>27.945</v>
      </c>
      <c r="M401" s="7">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 MATCH(orders!I$1,  products!$A$1:$G$1,0))</f>
        <v>Lib</v>
      </c>
      <c r="J402" t="str">
        <f>INDEX(products!$A$1:$G$49,MATCH(orders!$D402,products!$A$1:$A$49,0), MATCH(orders!J$1,  products!$A$1:$G$1,0))</f>
        <v>L</v>
      </c>
      <c r="K402" s="4">
        <f>INDEX(products!$A$1:$G$49,MATCH(orders!$D402,products!$A$1:$A$49,0), MATCH(orders!K$1,  products!$A$1:$G$1,0))</f>
        <v>1</v>
      </c>
      <c r="L402" s="7">
        <f>INDEX(products!$A$1:$G$49,MATCH(orders!$D402,products!$A$1:$A$49,0), MATCH(orders!L$1,  products!$A$1:$G$1,0))</f>
        <v>15.85</v>
      </c>
      <c r="M402" s="7">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 MATCH(orders!I$1,  products!$A$1:$G$1,0))</f>
        <v>Lib</v>
      </c>
      <c r="J403" t="str">
        <f>INDEX(products!$A$1:$G$49,MATCH(orders!$D403,products!$A$1:$A$49,0), MATCH(orders!J$1,  products!$A$1:$G$1,0))</f>
        <v>M</v>
      </c>
      <c r="K403" s="4">
        <f>INDEX(products!$A$1:$G$49,MATCH(orders!$D403,products!$A$1:$A$49,0), MATCH(orders!K$1,  products!$A$1:$G$1,0))</f>
        <v>0.2</v>
      </c>
      <c r="L403" s="7">
        <f>INDEX(products!$A$1:$G$49,MATCH(orders!$D403,products!$A$1:$A$49,0), MATCH(orders!L$1,  products!$A$1:$G$1,0))</f>
        <v>4.3650000000000002</v>
      </c>
      <c r="M403" s="7">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 MATCH(orders!I$1,  products!$A$1:$G$1,0))</f>
        <v>Rob</v>
      </c>
      <c r="J404" t="str">
        <f>INDEX(products!$A$1:$G$49,MATCH(orders!$D404,products!$A$1:$A$49,0), MATCH(orders!J$1,  products!$A$1:$G$1,0))</f>
        <v>D</v>
      </c>
      <c r="K404" s="4">
        <f>INDEX(products!$A$1:$G$49,MATCH(orders!$D404,products!$A$1:$A$49,0), MATCH(orders!K$1,  products!$A$1:$G$1,0))</f>
        <v>1</v>
      </c>
      <c r="L404" s="7">
        <f>INDEX(products!$A$1:$G$49,MATCH(orders!$D404,products!$A$1:$A$49,0), MATCH(orders!L$1,  products!$A$1:$G$1,0))</f>
        <v>8.9499999999999993</v>
      </c>
      <c r="M404" s="7">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 MATCH(orders!I$1,  products!$A$1:$G$1,0))</f>
        <v>Lib</v>
      </c>
      <c r="J405" t="str">
        <f>INDEX(products!$A$1:$G$49,MATCH(orders!$D405,products!$A$1:$A$49,0), MATCH(orders!J$1,  products!$A$1:$G$1,0))</f>
        <v>L</v>
      </c>
      <c r="K405" s="4">
        <f>INDEX(products!$A$1:$G$49,MATCH(orders!$D405,products!$A$1:$A$49,0), MATCH(orders!K$1,  products!$A$1:$G$1,0))</f>
        <v>0.2</v>
      </c>
      <c r="L405" s="7">
        <f>INDEX(products!$A$1:$G$49,MATCH(orders!$D405,products!$A$1:$A$49,0), MATCH(orders!L$1,  products!$A$1:$G$1,0))</f>
        <v>4.7549999999999999</v>
      </c>
      <c r="M405" s="7">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 MATCH(orders!I$1,  products!$A$1:$G$1,0))</f>
        <v>Ara</v>
      </c>
      <c r="J406" t="str">
        <f>INDEX(products!$A$1:$G$49,MATCH(orders!$D406,products!$A$1:$A$49,0), MATCH(orders!J$1,  products!$A$1:$G$1,0))</f>
        <v>D</v>
      </c>
      <c r="K406" s="4">
        <f>INDEX(products!$A$1:$G$49,MATCH(orders!$D406,products!$A$1:$A$49,0), MATCH(orders!K$1,  products!$A$1:$G$1,0))</f>
        <v>1</v>
      </c>
      <c r="L406" s="7">
        <f>INDEX(products!$A$1:$G$49,MATCH(orders!$D406,products!$A$1:$A$49,0), MATCH(orders!L$1,  products!$A$1:$G$1,0))</f>
        <v>9.9499999999999993</v>
      </c>
      <c r="M406" s="7">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 MATCH(orders!I$1,  products!$A$1:$G$1,0))</f>
        <v>Exc</v>
      </c>
      <c r="J407" t="str">
        <f>INDEX(products!$A$1:$G$49,MATCH(orders!$D407,products!$A$1:$A$49,0), MATCH(orders!J$1,  products!$A$1:$G$1,0))</f>
        <v>M</v>
      </c>
      <c r="K407" s="4">
        <f>INDEX(products!$A$1:$G$49,MATCH(orders!$D407,products!$A$1:$A$49,0), MATCH(orders!K$1,  products!$A$1:$G$1,0))</f>
        <v>0.5</v>
      </c>
      <c r="L407" s="7">
        <f>INDEX(products!$A$1:$G$49,MATCH(orders!$D407,products!$A$1:$A$49,0), MATCH(orders!L$1,  products!$A$1:$G$1,0))</f>
        <v>8.25</v>
      </c>
      <c r="M407" s="7">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 MATCH(orders!I$1,  products!$A$1:$G$1,0))</f>
        <v>Exc</v>
      </c>
      <c r="J408" t="str">
        <f>INDEX(products!$A$1:$G$49,MATCH(orders!$D408,products!$A$1:$A$49,0), MATCH(orders!J$1,  products!$A$1:$G$1,0))</f>
        <v>M</v>
      </c>
      <c r="K408" s="4">
        <f>INDEX(products!$A$1:$G$49,MATCH(orders!$D408,products!$A$1:$A$49,0), MATCH(orders!K$1,  products!$A$1:$G$1,0))</f>
        <v>1</v>
      </c>
      <c r="L408" s="7">
        <f>INDEX(products!$A$1:$G$49,MATCH(orders!$D408,products!$A$1:$A$49,0), MATCH(orders!L$1,  products!$A$1:$G$1,0))</f>
        <v>13.75</v>
      </c>
      <c r="M408" s="7">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 MATCH(orders!I$1,  products!$A$1:$G$1,0))</f>
        <v>Exc</v>
      </c>
      <c r="J409" t="str">
        <f>INDEX(products!$A$1:$G$49,MATCH(orders!$D409,products!$A$1:$A$49,0), MATCH(orders!J$1,  products!$A$1:$G$1,0))</f>
        <v>M</v>
      </c>
      <c r="K409" s="4">
        <f>INDEX(products!$A$1:$G$49,MATCH(orders!$D409,products!$A$1:$A$49,0), MATCH(orders!K$1,  products!$A$1:$G$1,0))</f>
        <v>0.5</v>
      </c>
      <c r="L409" s="7">
        <f>INDEX(products!$A$1:$G$49,MATCH(orders!$D409,products!$A$1:$A$49,0), MATCH(orders!L$1,  products!$A$1:$G$1,0))</f>
        <v>8.25</v>
      </c>
      <c r="M409" s="7">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 MATCH(orders!I$1,  products!$A$1:$G$1,0))</f>
        <v>Ara</v>
      </c>
      <c r="J410" t="str">
        <f>INDEX(products!$A$1:$G$49,MATCH(orders!$D410,products!$A$1:$A$49,0), MATCH(orders!J$1,  products!$A$1:$G$1,0))</f>
        <v>M</v>
      </c>
      <c r="K410" s="4">
        <f>INDEX(products!$A$1:$G$49,MATCH(orders!$D410,products!$A$1:$A$49,0), MATCH(orders!K$1,  products!$A$1:$G$1,0))</f>
        <v>2.5</v>
      </c>
      <c r="L410" s="7">
        <f>INDEX(products!$A$1:$G$49,MATCH(orders!$D410,products!$A$1:$A$49,0), MATCH(orders!L$1,  products!$A$1:$G$1,0))</f>
        <v>25.874999999999996</v>
      </c>
      <c r="M410" s="7">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 MATCH(orders!I$1,  products!$A$1:$G$1,0))</f>
        <v>Lib</v>
      </c>
      <c r="J411" t="str">
        <f>INDEX(products!$A$1:$G$49,MATCH(orders!$D411,products!$A$1:$A$49,0), MATCH(orders!J$1,  products!$A$1:$G$1,0))</f>
        <v>L</v>
      </c>
      <c r="K411" s="4">
        <f>INDEX(products!$A$1:$G$49,MATCH(orders!$D411,products!$A$1:$A$49,0), MATCH(orders!K$1,  products!$A$1:$G$1,0))</f>
        <v>1</v>
      </c>
      <c r="L411" s="7">
        <f>INDEX(products!$A$1:$G$49,MATCH(orders!$D411,products!$A$1:$A$49,0), MATCH(orders!L$1,  products!$A$1:$G$1,0))</f>
        <v>15.85</v>
      </c>
      <c r="M411" s="7">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 MATCH(orders!I$1,  products!$A$1:$G$1,0))</f>
        <v>Ara</v>
      </c>
      <c r="J412" t="str">
        <f>INDEX(products!$A$1:$G$49,MATCH(orders!$D412,products!$A$1:$A$49,0), MATCH(orders!J$1,  products!$A$1:$G$1,0))</f>
        <v>L</v>
      </c>
      <c r="K412" s="4">
        <f>INDEX(products!$A$1:$G$49,MATCH(orders!$D412,products!$A$1:$A$49,0), MATCH(orders!K$1,  products!$A$1:$G$1,0))</f>
        <v>0.2</v>
      </c>
      <c r="L412" s="7">
        <f>INDEX(products!$A$1:$G$49,MATCH(orders!$D412,products!$A$1:$A$49,0), MATCH(orders!L$1,  products!$A$1:$G$1,0))</f>
        <v>3.8849999999999998</v>
      </c>
      <c r="M412" s="7">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 MATCH(orders!I$1,  products!$A$1:$G$1,0))</f>
        <v>Lib</v>
      </c>
      <c r="J413" t="str">
        <f>INDEX(products!$A$1:$G$49,MATCH(orders!$D413,products!$A$1:$A$49,0), MATCH(orders!J$1,  products!$A$1:$G$1,0))</f>
        <v>M</v>
      </c>
      <c r="K413" s="4">
        <f>INDEX(products!$A$1:$G$49,MATCH(orders!$D413,products!$A$1:$A$49,0), MATCH(orders!K$1,  products!$A$1:$G$1,0))</f>
        <v>1</v>
      </c>
      <c r="L413" s="7">
        <f>INDEX(products!$A$1:$G$49,MATCH(orders!$D413,products!$A$1:$A$49,0), MATCH(orders!L$1,  products!$A$1:$G$1,0))</f>
        <v>14.55</v>
      </c>
      <c r="M413" s="7">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 MATCH(orders!I$1,  products!$A$1:$G$1,0))</f>
        <v>Ara</v>
      </c>
      <c r="J414" t="str">
        <f>INDEX(products!$A$1:$G$49,MATCH(orders!$D414,products!$A$1:$A$49,0), MATCH(orders!J$1,  products!$A$1:$G$1,0))</f>
        <v>M</v>
      </c>
      <c r="K414" s="4">
        <f>INDEX(products!$A$1:$G$49,MATCH(orders!$D414,products!$A$1:$A$49,0), MATCH(orders!K$1,  products!$A$1:$G$1,0))</f>
        <v>1</v>
      </c>
      <c r="L414" s="7">
        <f>INDEX(products!$A$1:$G$49,MATCH(orders!$D414,products!$A$1:$A$49,0), MATCH(orders!L$1,  products!$A$1:$G$1,0))</f>
        <v>11.25</v>
      </c>
      <c r="M414" s="7">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 MATCH(orders!I$1,  products!$A$1:$G$1,0))</f>
        <v>Lib</v>
      </c>
      <c r="J415" t="str">
        <f>INDEX(products!$A$1:$G$49,MATCH(orders!$D415,products!$A$1:$A$49,0), MATCH(orders!J$1,  products!$A$1:$G$1,0))</f>
        <v>L</v>
      </c>
      <c r="K415" s="4">
        <f>INDEX(products!$A$1:$G$49,MATCH(orders!$D415,products!$A$1:$A$49,0), MATCH(orders!K$1,  products!$A$1:$G$1,0))</f>
        <v>2.5</v>
      </c>
      <c r="L415" s="7">
        <f>INDEX(products!$A$1:$G$49,MATCH(orders!$D415,products!$A$1:$A$49,0), MATCH(orders!L$1,  products!$A$1:$G$1,0))</f>
        <v>36.454999999999998</v>
      </c>
      <c r="M415" s="7">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 MATCH(orders!I$1,  products!$A$1:$G$1,0))</f>
        <v>Rob</v>
      </c>
      <c r="J416" t="str">
        <f>INDEX(products!$A$1:$G$49,MATCH(orders!$D416,products!$A$1:$A$49,0), MATCH(orders!J$1,  products!$A$1:$G$1,0))</f>
        <v>L</v>
      </c>
      <c r="K416" s="4">
        <f>INDEX(products!$A$1:$G$49,MATCH(orders!$D416,products!$A$1:$A$49,0), MATCH(orders!K$1,  products!$A$1:$G$1,0))</f>
        <v>0.2</v>
      </c>
      <c r="L416" s="7">
        <f>INDEX(products!$A$1:$G$49,MATCH(orders!$D416,products!$A$1:$A$49,0), MATCH(orders!L$1,  products!$A$1:$G$1,0))</f>
        <v>3.5849999999999995</v>
      </c>
      <c r="M416" s="7">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 MATCH(orders!I$1,  products!$A$1:$G$1,0))</f>
        <v>Rob</v>
      </c>
      <c r="J417" t="str">
        <f>INDEX(products!$A$1:$G$49,MATCH(orders!$D417,products!$A$1:$A$49,0), MATCH(orders!J$1,  products!$A$1:$G$1,0))</f>
        <v>M</v>
      </c>
      <c r="K417" s="4">
        <f>INDEX(products!$A$1:$G$49,MATCH(orders!$D417,products!$A$1:$A$49,0), MATCH(orders!K$1,  products!$A$1:$G$1,0))</f>
        <v>0.2</v>
      </c>
      <c r="L417" s="7">
        <f>INDEX(products!$A$1:$G$49,MATCH(orders!$D417,products!$A$1:$A$49,0), MATCH(orders!L$1,  products!$A$1:$G$1,0))</f>
        <v>2.9849999999999999</v>
      </c>
      <c r="M417" s="7">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 MATCH(orders!I$1,  products!$A$1:$G$1,0))</f>
        <v>Ara</v>
      </c>
      <c r="J418" t="str">
        <f>INDEX(products!$A$1:$G$49,MATCH(orders!$D418,products!$A$1:$A$49,0), MATCH(orders!J$1,  products!$A$1:$G$1,0))</f>
        <v>L</v>
      </c>
      <c r="K418" s="4">
        <f>INDEX(products!$A$1:$G$49,MATCH(orders!$D418,products!$A$1:$A$49,0), MATCH(orders!K$1,  products!$A$1:$G$1,0))</f>
        <v>0.5</v>
      </c>
      <c r="L418" s="7">
        <f>INDEX(products!$A$1:$G$49,MATCH(orders!$D418,products!$A$1:$A$49,0), MATCH(orders!L$1,  products!$A$1:$G$1,0))</f>
        <v>7.77</v>
      </c>
      <c r="M418" s="7">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 MATCH(orders!I$1,  products!$A$1:$G$1,0))</f>
        <v>Ara</v>
      </c>
      <c r="J419" t="str">
        <f>INDEX(products!$A$1:$G$49,MATCH(orders!$D419,products!$A$1:$A$49,0), MATCH(orders!J$1,  products!$A$1:$G$1,0))</f>
        <v>L</v>
      </c>
      <c r="K419" s="4">
        <f>INDEX(products!$A$1:$G$49,MATCH(orders!$D419,products!$A$1:$A$49,0), MATCH(orders!K$1,  products!$A$1:$G$1,0))</f>
        <v>2.5</v>
      </c>
      <c r="L419" s="7">
        <f>INDEX(products!$A$1:$G$49,MATCH(orders!$D419,products!$A$1:$A$49,0), MATCH(orders!L$1,  products!$A$1:$G$1,0))</f>
        <v>29.784999999999997</v>
      </c>
      <c r="M419" s="7">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 MATCH(orders!I$1,  products!$A$1:$G$1,0))</f>
        <v>Ara</v>
      </c>
      <c r="J420" t="str">
        <f>INDEX(products!$A$1:$G$49,MATCH(orders!$D420,products!$A$1:$A$49,0), MATCH(orders!J$1,  products!$A$1:$G$1,0))</f>
        <v>L</v>
      </c>
      <c r="K420" s="4">
        <f>INDEX(products!$A$1:$G$49,MATCH(orders!$D420,products!$A$1:$A$49,0), MATCH(orders!K$1,  products!$A$1:$G$1,0))</f>
        <v>2.5</v>
      </c>
      <c r="L420" s="7">
        <f>INDEX(products!$A$1:$G$49,MATCH(orders!$D420,products!$A$1:$A$49,0), MATCH(orders!L$1,  products!$A$1:$G$1,0))</f>
        <v>29.784999999999997</v>
      </c>
      <c r="M420" s="7">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 MATCH(orders!I$1,  products!$A$1:$G$1,0))</f>
        <v>Lib</v>
      </c>
      <c r="J421" t="str">
        <f>INDEX(products!$A$1:$G$49,MATCH(orders!$D421,products!$A$1:$A$49,0), MATCH(orders!J$1,  products!$A$1:$G$1,0))</f>
        <v>M</v>
      </c>
      <c r="K421" s="4">
        <f>INDEX(products!$A$1:$G$49,MATCH(orders!$D421,products!$A$1:$A$49,0), MATCH(orders!K$1,  products!$A$1:$G$1,0))</f>
        <v>0.5</v>
      </c>
      <c r="L421" s="7">
        <f>INDEX(products!$A$1:$G$49,MATCH(orders!$D421,products!$A$1:$A$49,0), MATCH(orders!L$1,  products!$A$1:$G$1,0))</f>
        <v>8.73</v>
      </c>
      <c r="M421" s="7">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 MATCH(orders!I$1,  products!$A$1:$G$1,0))</f>
        <v>Lib</v>
      </c>
      <c r="J422" t="str">
        <f>INDEX(products!$A$1:$G$49,MATCH(orders!$D422,products!$A$1:$A$49,0), MATCH(orders!J$1,  products!$A$1:$G$1,0))</f>
        <v>D</v>
      </c>
      <c r="K422" s="4">
        <f>INDEX(products!$A$1:$G$49,MATCH(orders!$D422,products!$A$1:$A$49,0), MATCH(orders!K$1,  products!$A$1:$G$1,0))</f>
        <v>0.5</v>
      </c>
      <c r="L422" s="7">
        <f>INDEX(products!$A$1:$G$49,MATCH(orders!$D422,products!$A$1:$A$49,0), MATCH(orders!L$1,  products!$A$1:$G$1,0))</f>
        <v>7.77</v>
      </c>
      <c r="M422" s="7">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 MATCH(orders!I$1,  products!$A$1:$G$1,0))</f>
        <v>Ara</v>
      </c>
      <c r="J423" t="str">
        <f>INDEX(products!$A$1:$G$49,MATCH(orders!$D423,products!$A$1:$A$49,0), MATCH(orders!J$1,  products!$A$1:$G$1,0))</f>
        <v>D</v>
      </c>
      <c r="K423" s="4">
        <f>INDEX(products!$A$1:$G$49,MATCH(orders!$D423,products!$A$1:$A$49,0), MATCH(orders!K$1,  products!$A$1:$G$1,0))</f>
        <v>2.5</v>
      </c>
      <c r="L423" s="7">
        <f>INDEX(products!$A$1:$G$49,MATCH(orders!$D423,products!$A$1:$A$49,0), MATCH(orders!L$1,  products!$A$1:$G$1,0))</f>
        <v>22.884999999999998</v>
      </c>
      <c r="M423" s="7">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 MATCH(orders!I$1,  products!$A$1:$G$1,0))</f>
        <v>Ara</v>
      </c>
      <c r="J424" t="str">
        <f>INDEX(products!$A$1:$G$49,MATCH(orders!$D424,products!$A$1:$A$49,0), MATCH(orders!J$1,  products!$A$1:$G$1,0))</f>
        <v>D</v>
      </c>
      <c r="K424" s="4">
        <f>INDEX(products!$A$1:$G$49,MATCH(orders!$D424,products!$A$1:$A$49,0), MATCH(orders!K$1,  products!$A$1:$G$1,0))</f>
        <v>0.5</v>
      </c>
      <c r="L424" s="7">
        <f>INDEX(products!$A$1:$G$49,MATCH(orders!$D424,products!$A$1:$A$49,0), MATCH(orders!L$1,  products!$A$1:$G$1,0))</f>
        <v>5.97</v>
      </c>
      <c r="M424" s="7">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 MATCH(orders!I$1,  products!$A$1:$G$1,0))</f>
        <v>Rob</v>
      </c>
      <c r="J425" t="str">
        <f>INDEX(products!$A$1:$G$49,MATCH(orders!$D425,products!$A$1:$A$49,0), MATCH(orders!J$1,  products!$A$1:$G$1,0))</f>
        <v>M</v>
      </c>
      <c r="K425" s="4">
        <f>INDEX(products!$A$1:$G$49,MATCH(orders!$D425,products!$A$1:$A$49,0), MATCH(orders!K$1,  products!$A$1:$G$1,0))</f>
        <v>0.5</v>
      </c>
      <c r="L425" s="7">
        <f>INDEX(products!$A$1:$G$49,MATCH(orders!$D425,products!$A$1:$A$49,0), MATCH(orders!L$1,  products!$A$1:$G$1,0))</f>
        <v>5.97</v>
      </c>
      <c r="M425" s="7">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 MATCH(orders!I$1,  products!$A$1:$G$1,0))</f>
        <v>Exc</v>
      </c>
      <c r="J426" t="str">
        <f>INDEX(products!$A$1:$G$49,MATCH(orders!$D426,products!$A$1:$A$49,0), MATCH(orders!J$1,  products!$A$1:$G$1,0))</f>
        <v>L</v>
      </c>
      <c r="K426" s="4">
        <f>INDEX(products!$A$1:$G$49,MATCH(orders!$D426,products!$A$1:$A$49,0), MATCH(orders!K$1,  products!$A$1:$G$1,0))</f>
        <v>0.5</v>
      </c>
      <c r="L426" s="7">
        <f>INDEX(products!$A$1:$G$49,MATCH(orders!$D426,products!$A$1:$A$49,0), MATCH(orders!L$1,  products!$A$1:$G$1,0))</f>
        <v>8.91</v>
      </c>
      <c r="M426" s="7">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 MATCH(orders!I$1,  products!$A$1:$G$1,0))</f>
        <v>Rob</v>
      </c>
      <c r="J427" t="str">
        <f>INDEX(products!$A$1:$G$49,MATCH(orders!$D427,products!$A$1:$A$49,0), MATCH(orders!J$1,  products!$A$1:$G$1,0))</f>
        <v>D</v>
      </c>
      <c r="K427" s="4">
        <f>INDEX(products!$A$1:$G$49,MATCH(orders!$D427,products!$A$1:$A$49,0), MATCH(orders!K$1,  products!$A$1:$G$1,0))</f>
        <v>1</v>
      </c>
      <c r="L427" s="7">
        <f>INDEX(products!$A$1:$G$49,MATCH(orders!$D427,products!$A$1:$A$49,0), MATCH(orders!L$1,  products!$A$1:$G$1,0))</f>
        <v>8.9499999999999993</v>
      </c>
      <c r="M427" s="7">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 MATCH(orders!I$1,  products!$A$1:$G$1,0))</f>
        <v>Rob</v>
      </c>
      <c r="J428" t="str">
        <f>INDEX(products!$A$1:$G$49,MATCH(orders!$D428,products!$A$1:$A$49,0), MATCH(orders!J$1,  products!$A$1:$G$1,0))</f>
        <v>L</v>
      </c>
      <c r="K428" s="4">
        <f>INDEX(products!$A$1:$G$49,MATCH(orders!$D428,products!$A$1:$A$49,0), MATCH(orders!K$1,  products!$A$1:$G$1,0))</f>
        <v>0.2</v>
      </c>
      <c r="L428" s="7">
        <f>INDEX(products!$A$1:$G$49,MATCH(orders!$D428,products!$A$1:$A$49,0), MATCH(orders!L$1,  products!$A$1:$G$1,0))</f>
        <v>3.5849999999999995</v>
      </c>
      <c r="M428" s="7">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 MATCH(orders!I$1,  products!$A$1:$G$1,0))</f>
        <v>Ara</v>
      </c>
      <c r="J429" t="str">
        <f>INDEX(products!$A$1:$G$49,MATCH(orders!$D429,products!$A$1:$A$49,0), MATCH(orders!J$1,  products!$A$1:$G$1,0))</f>
        <v>M</v>
      </c>
      <c r="K429" s="4">
        <f>INDEX(products!$A$1:$G$49,MATCH(orders!$D429,products!$A$1:$A$49,0), MATCH(orders!K$1,  products!$A$1:$G$1,0))</f>
        <v>2.5</v>
      </c>
      <c r="L429" s="7">
        <f>INDEX(products!$A$1:$G$49,MATCH(orders!$D429,products!$A$1:$A$49,0), MATCH(orders!L$1,  products!$A$1:$G$1,0))</f>
        <v>25.874999999999996</v>
      </c>
      <c r="M429" s="7">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 MATCH(orders!I$1,  products!$A$1:$G$1,0))</f>
        <v>Rob</v>
      </c>
      <c r="J430" t="str">
        <f>INDEX(products!$A$1:$G$49,MATCH(orders!$D430,products!$A$1:$A$49,0), MATCH(orders!J$1,  products!$A$1:$G$1,0))</f>
        <v>L</v>
      </c>
      <c r="K430" s="4">
        <f>INDEX(products!$A$1:$G$49,MATCH(orders!$D430,products!$A$1:$A$49,0), MATCH(orders!K$1,  products!$A$1:$G$1,0))</f>
        <v>1</v>
      </c>
      <c r="L430" s="7">
        <f>INDEX(products!$A$1:$G$49,MATCH(orders!$D430,products!$A$1:$A$49,0), MATCH(orders!L$1,  products!$A$1:$G$1,0))</f>
        <v>11.95</v>
      </c>
      <c r="M430" s="7">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 MATCH(orders!I$1,  products!$A$1:$G$1,0))</f>
        <v>Ara</v>
      </c>
      <c r="J431" t="str">
        <f>INDEX(products!$A$1:$G$49,MATCH(orders!$D431,products!$A$1:$A$49,0), MATCH(orders!J$1,  products!$A$1:$G$1,0))</f>
        <v>L</v>
      </c>
      <c r="K431" s="4">
        <f>INDEX(products!$A$1:$G$49,MATCH(orders!$D431,products!$A$1:$A$49,0), MATCH(orders!K$1,  products!$A$1:$G$1,0))</f>
        <v>1</v>
      </c>
      <c r="L431" s="7">
        <f>INDEX(products!$A$1:$G$49,MATCH(orders!$D431,products!$A$1:$A$49,0), MATCH(orders!L$1,  products!$A$1:$G$1,0))</f>
        <v>12.95</v>
      </c>
      <c r="M431" s="7">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 MATCH(orders!I$1,  products!$A$1:$G$1,0))</f>
        <v>Rob</v>
      </c>
      <c r="J432" t="str">
        <f>INDEX(products!$A$1:$G$49,MATCH(orders!$D432,products!$A$1:$A$49,0), MATCH(orders!J$1,  products!$A$1:$G$1,0))</f>
        <v>D</v>
      </c>
      <c r="K432" s="4">
        <f>INDEX(products!$A$1:$G$49,MATCH(orders!$D432,products!$A$1:$A$49,0), MATCH(orders!K$1,  products!$A$1:$G$1,0))</f>
        <v>0.2</v>
      </c>
      <c r="L432" s="7">
        <f>INDEX(products!$A$1:$G$49,MATCH(orders!$D432,products!$A$1:$A$49,0), MATCH(orders!L$1,  products!$A$1:$G$1,0))</f>
        <v>2.6849999999999996</v>
      </c>
      <c r="M432" s="7">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 MATCH(orders!I$1,  products!$A$1:$G$1,0))</f>
        <v>Exc</v>
      </c>
      <c r="J433" t="str">
        <f>INDEX(products!$A$1:$G$49,MATCH(orders!$D433,products!$A$1:$A$49,0), MATCH(orders!J$1,  products!$A$1:$G$1,0))</f>
        <v>D</v>
      </c>
      <c r="K433" s="4">
        <f>INDEX(products!$A$1:$G$49,MATCH(orders!$D433,products!$A$1:$A$49,0), MATCH(orders!K$1,  products!$A$1:$G$1,0))</f>
        <v>2.5</v>
      </c>
      <c r="L433" s="7">
        <f>INDEX(products!$A$1:$G$49,MATCH(orders!$D433,products!$A$1:$A$49,0), MATCH(orders!L$1,  products!$A$1:$G$1,0))</f>
        <v>27.945</v>
      </c>
      <c r="M433" s="7">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 MATCH(orders!I$1,  products!$A$1:$G$1,0))</f>
        <v>Ara</v>
      </c>
      <c r="J434" t="str">
        <f>INDEX(products!$A$1:$G$49,MATCH(orders!$D434,products!$A$1:$A$49,0), MATCH(orders!J$1,  products!$A$1:$G$1,0))</f>
        <v>M</v>
      </c>
      <c r="K434" s="4">
        <f>INDEX(products!$A$1:$G$49,MATCH(orders!$D434,products!$A$1:$A$49,0), MATCH(orders!K$1,  products!$A$1:$G$1,0))</f>
        <v>1</v>
      </c>
      <c r="L434" s="7">
        <f>INDEX(products!$A$1:$G$49,MATCH(orders!$D434,products!$A$1:$A$49,0), MATCH(orders!L$1,  products!$A$1:$G$1,0))</f>
        <v>11.25</v>
      </c>
      <c r="M434" s="7">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 MATCH(orders!I$1,  products!$A$1:$G$1,0))</f>
        <v>Lib</v>
      </c>
      <c r="J435" t="str">
        <f>INDEX(products!$A$1:$G$49,MATCH(orders!$D435,products!$A$1:$A$49,0), MATCH(orders!J$1,  products!$A$1:$G$1,0))</f>
        <v>M</v>
      </c>
      <c r="K435" s="4">
        <f>INDEX(products!$A$1:$G$49,MATCH(orders!$D435,products!$A$1:$A$49,0), MATCH(orders!K$1,  products!$A$1:$G$1,0))</f>
        <v>2.5</v>
      </c>
      <c r="L435" s="7">
        <f>INDEX(products!$A$1:$G$49,MATCH(orders!$D435,products!$A$1:$A$49,0), MATCH(orders!L$1,  products!$A$1:$G$1,0))</f>
        <v>33.464999999999996</v>
      </c>
      <c r="M435" s="7">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 MATCH(orders!I$1,  products!$A$1:$G$1,0))</f>
        <v>Ara</v>
      </c>
      <c r="J436" t="str">
        <f>INDEX(products!$A$1:$G$49,MATCH(orders!$D436,products!$A$1:$A$49,0), MATCH(orders!J$1,  products!$A$1:$G$1,0))</f>
        <v>M</v>
      </c>
      <c r="K436" s="4">
        <f>INDEX(products!$A$1:$G$49,MATCH(orders!$D436,products!$A$1:$A$49,0), MATCH(orders!K$1,  products!$A$1:$G$1,0))</f>
        <v>1</v>
      </c>
      <c r="L436" s="7">
        <f>INDEX(products!$A$1:$G$49,MATCH(orders!$D436,products!$A$1:$A$49,0), MATCH(orders!L$1,  products!$A$1:$G$1,0))</f>
        <v>11.25</v>
      </c>
      <c r="M436" s="7">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 MATCH(orders!I$1,  products!$A$1:$G$1,0))</f>
        <v>Exc</v>
      </c>
      <c r="J437" t="str">
        <f>INDEX(products!$A$1:$G$49,MATCH(orders!$D437,products!$A$1:$A$49,0), MATCH(orders!J$1,  products!$A$1:$G$1,0))</f>
        <v>M</v>
      </c>
      <c r="K437" s="4">
        <f>INDEX(products!$A$1:$G$49,MATCH(orders!$D437,products!$A$1:$A$49,0), MATCH(orders!K$1,  products!$A$1:$G$1,0))</f>
        <v>0.5</v>
      </c>
      <c r="L437" s="7">
        <f>INDEX(products!$A$1:$G$49,MATCH(orders!$D437,products!$A$1:$A$49,0), MATCH(orders!L$1,  products!$A$1:$G$1,0))</f>
        <v>8.25</v>
      </c>
      <c r="M437" s="7">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 MATCH(orders!I$1,  products!$A$1:$G$1,0))</f>
        <v>Lib</v>
      </c>
      <c r="J438" t="str">
        <f>INDEX(products!$A$1:$G$49,MATCH(orders!$D438,products!$A$1:$A$49,0), MATCH(orders!J$1,  products!$A$1:$G$1,0))</f>
        <v>L</v>
      </c>
      <c r="K438" s="4">
        <f>INDEX(products!$A$1:$G$49,MATCH(orders!$D438,products!$A$1:$A$49,0), MATCH(orders!K$1,  products!$A$1:$G$1,0))</f>
        <v>0.2</v>
      </c>
      <c r="L438" s="7">
        <f>INDEX(products!$A$1:$G$49,MATCH(orders!$D438,products!$A$1:$A$49,0), MATCH(orders!L$1,  products!$A$1:$G$1,0))</f>
        <v>4.7549999999999999</v>
      </c>
      <c r="M438" s="7">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 MATCH(orders!I$1,  products!$A$1:$G$1,0))</f>
        <v>Lib</v>
      </c>
      <c r="J439" t="str">
        <f>INDEX(products!$A$1:$G$49,MATCH(orders!$D439,products!$A$1:$A$49,0), MATCH(orders!J$1,  products!$A$1:$G$1,0))</f>
        <v>D</v>
      </c>
      <c r="K439" s="4">
        <f>INDEX(products!$A$1:$G$49,MATCH(orders!$D439,products!$A$1:$A$49,0), MATCH(orders!K$1,  products!$A$1:$G$1,0))</f>
        <v>2.5</v>
      </c>
      <c r="L439" s="7">
        <f>INDEX(products!$A$1:$G$49,MATCH(orders!$D439,products!$A$1:$A$49,0), MATCH(orders!L$1,  products!$A$1:$G$1,0))</f>
        <v>29.784999999999997</v>
      </c>
      <c r="M439" s="7">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 MATCH(orders!I$1,  products!$A$1:$G$1,0))</f>
        <v>Lib</v>
      </c>
      <c r="J440" t="str">
        <f>INDEX(products!$A$1:$G$49,MATCH(orders!$D440,products!$A$1:$A$49,0), MATCH(orders!J$1,  products!$A$1:$G$1,0))</f>
        <v>D</v>
      </c>
      <c r="K440" s="4">
        <f>INDEX(products!$A$1:$G$49,MATCH(orders!$D440,products!$A$1:$A$49,0), MATCH(orders!K$1,  products!$A$1:$G$1,0))</f>
        <v>0.5</v>
      </c>
      <c r="L440" s="7">
        <f>INDEX(products!$A$1:$G$49,MATCH(orders!$D440,products!$A$1:$A$49,0), MATCH(orders!L$1,  products!$A$1:$G$1,0))</f>
        <v>7.77</v>
      </c>
      <c r="M440" s="7">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 MATCH(orders!I$1,  products!$A$1:$G$1,0))</f>
        <v>Exc</v>
      </c>
      <c r="J441" t="str">
        <f>INDEX(products!$A$1:$G$49,MATCH(orders!$D441,products!$A$1:$A$49,0), MATCH(orders!J$1,  products!$A$1:$G$1,0))</f>
        <v>L</v>
      </c>
      <c r="K441" s="4">
        <f>INDEX(products!$A$1:$G$49,MATCH(orders!$D441,products!$A$1:$A$49,0), MATCH(orders!K$1,  products!$A$1:$G$1,0))</f>
        <v>0.5</v>
      </c>
      <c r="L441" s="7">
        <f>INDEX(products!$A$1:$G$49,MATCH(orders!$D441,products!$A$1:$A$49,0), MATCH(orders!L$1,  products!$A$1:$G$1,0))</f>
        <v>8.91</v>
      </c>
      <c r="M441" s="7">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 MATCH(orders!I$1,  products!$A$1:$G$1,0))</f>
        <v>Ara</v>
      </c>
      <c r="J442" t="str">
        <f>INDEX(products!$A$1:$G$49,MATCH(orders!$D442,products!$A$1:$A$49,0), MATCH(orders!J$1,  products!$A$1:$G$1,0))</f>
        <v>M</v>
      </c>
      <c r="K442" s="4">
        <f>INDEX(products!$A$1:$G$49,MATCH(orders!$D442,products!$A$1:$A$49,0), MATCH(orders!K$1,  products!$A$1:$G$1,0))</f>
        <v>2.5</v>
      </c>
      <c r="L442" s="7">
        <f>INDEX(products!$A$1:$G$49,MATCH(orders!$D442,products!$A$1:$A$49,0), MATCH(orders!L$1,  products!$A$1:$G$1,0))</f>
        <v>25.874999999999996</v>
      </c>
      <c r="M442" s="7">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 MATCH(orders!I$1,  products!$A$1:$G$1,0))</f>
        <v>Exc</v>
      </c>
      <c r="J443" t="str">
        <f>INDEX(products!$A$1:$G$49,MATCH(orders!$D443,products!$A$1:$A$49,0), MATCH(orders!J$1,  products!$A$1:$G$1,0))</f>
        <v>D</v>
      </c>
      <c r="K443" s="4">
        <f>INDEX(products!$A$1:$G$49,MATCH(orders!$D443,products!$A$1:$A$49,0), MATCH(orders!K$1,  products!$A$1:$G$1,0))</f>
        <v>1</v>
      </c>
      <c r="L443" s="7">
        <f>INDEX(products!$A$1:$G$49,MATCH(orders!$D443,products!$A$1:$A$49,0), MATCH(orders!L$1,  products!$A$1:$G$1,0))</f>
        <v>12.15</v>
      </c>
      <c r="M443" s="7">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 MATCH(orders!I$1,  products!$A$1:$G$1,0))</f>
        <v>Rob</v>
      </c>
      <c r="J444" t="str">
        <f>INDEX(products!$A$1:$G$49,MATCH(orders!$D444,products!$A$1:$A$49,0), MATCH(orders!J$1,  products!$A$1:$G$1,0))</f>
        <v>L</v>
      </c>
      <c r="K444" s="4">
        <f>INDEX(products!$A$1:$G$49,MATCH(orders!$D444,products!$A$1:$A$49,0), MATCH(orders!K$1,  products!$A$1:$G$1,0))</f>
        <v>0.5</v>
      </c>
      <c r="L444" s="7">
        <f>INDEX(products!$A$1:$G$49,MATCH(orders!$D444,products!$A$1:$A$49,0), MATCH(orders!L$1,  products!$A$1:$G$1,0))</f>
        <v>7.169999999999999</v>
      </c>
      <c r="M444" s="7">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 MATCH(orders!I$1,  products!$A$1:$G$1,0))</f>
        <v>Exc</v>
      </c>
      <c r="J445" t="str">
        <f>INDEX(products!$A$1:$G$49,MATCH(orders!$D445,products!$A$1:$A$49,0), MATCH(orders!J$1,  products!$A$1:$G$1,0))</f>
        <v>L</v>
      </c>
      <c r="K445" s="4">
        <f>INDEX(products!$A$1:$G$49,MATCH(orders!$D445,products!$A$1:$A$49,0), MATCH(orders!K$1,  products!$A$1:$G$1,0))</f>
        <v>0.2</v>
      </c>
      <c r="L445" s="7">
        <f>INDEX(products!$A$1:$G$49,MATCH(orders!$D445,products!$A$1:$A$49,0), MATCH(orders!L$1,  products!$A$1:$G$1,0))</f>
        <v>4.4550000000000001</v>
      </c>
      <c r="M445" s="7">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 MATCH(orders!I$1,  products!$A$1:$G$1,0))</f>
        <v>Exc</v>
      </c>
      <c r="J446" t="str">
        <f>INDEX(products!$A$1:$G$49,MATCH(orders!$D446,products!$A$1:$A$49,0), MATCH(orders!J$1,  products!$A$1:$G$1,0))</f>
        <v>M</v>
      </c>
      <c r="K446" s="4">
        <f>INDEX(products!$A$1:$G$49,MATCH(orders!$D446,products!$A$1:$A$49,0), MATCH(orders!K$1,  products!$A$1:$G$1,0))</f>
        <v>0.2</v>
      </c>
      <c r="L446" s="7">
        <f>INDEX(products!$A$1:$G$49,MATCH(orders!$D446,products!$A$1:$A$49,0), MATCH(orders!L$1,  products!$A$1:$G$1,0))</f>
        <v>4.125</v>
      </c>
      <c r="M446" s="7">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 MATCH(orders!I$1,  products!$A$1:$G$1,0))</f>
        <v>Lib</v>
      </c>
      <c r="J447" t="str">
        <f>INDEX(products!$A$1:$G$49,MATCH(orders!$D447,products!$A$1:$A$49,0), MATCH(orders!J$1,  products!$A$1:$G$1,0))</f>
        <v>M</v>
      </c>
      <c r="K447" s="4">
        <f>INDEX(products!$A$1:$G$49,MATCH(orders!$D447,products!$A$1:$A$49,0), MATCH(orders!K$1,  products!$A$1:$G$1,0))</f>
        <v>2.5</v>
      </c>
      <c r="L447" s="7">
        <f>INDEX(products!$A$1:$G$49,MATCH(orders!$D447,products!$A$1:$A$49,0), MATCH(orders!L$1,  products!$A$1:$G$1,0))</f>
        <v>33.464999999999996</v>
      </c>
      <c r="M447" s="7">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 MATCH(orders!I$1,  products!$A$1:$G$1,0))</f>
        <v>Lib</v>
      </c>
      <c r="J448" t="str">
        <f>INDEX(products!$A$1:$G$49,MATCH(orders!$D448,products!$A$1:$A$49,0), MATCH(orders!J$1,  products!$A$1:$G$1,0))</f>
        <v>M</v>
      </c>
      <c r="K448" s="4">
        <f>INDEX(products!$A$1:$G$49,MATCH(orders!$D448,products!$A$1:$A$49,0), MATCH(orders!K$1,  products!$A$1:$G$1,0))</f>
        <v>0.5</v>
      </c>
      <c r="L448" s="7">
        <f>INDEX(products!$A$1:$G$49,MATCH(orders!$D448,products!$A$1:$A$49,0), MATCH(orders!L$1,  products!$A$1:$G$1,0))</f>
        <v>8.73</v>
      </c>
      <c r="M448" s="7">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 MATCH(orders!I$1,  products!$A$1:$G$1,0))</f>
        <v>Rob</v>
      </c>
      <c r="J449" t="str">
        <f>INDEX(products!$A$1:$G$49,MATCH(orders!$D449,products!$A$1:$A$49,0), MATCH(orders!J$1,  products!$A$1:$G$1,0))</f>
        <v>M</v>
      </c>
      <c r="K449" s="4">
        <f>INDEX(products!$A$1:$G$49,MATCH(orders!$D449,products!$A$1:$A$49,0), MATCH(orders!K$1,  products!$A$1:$G$1,0))</f>
        <v>0.5</v>
      </c>
      <c r="L449" s="7">
        <f>INDEX(products!$A$1:$G$49,MATCH(orders!$D449,products!$A$1:$A$49,0), MATCH(orders!L$1,  products!$A$1:$G$1,0))</f>
        <v>5.97</v>
      </c>
      <c r="M449" s="7">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 MATCH(orders!I$1,  products!$A$1:$G$1,0))</f>
        <v>Rob</v>
      </c>
      <c r="J450" t="str">
        <f>INDEX(products!$A$1:$G$49,MATCH(orders!$D450,products!$A$1:$A$49,0), MATCH(orders!J$1,  products!$A$1:$G$1,0))</f>
        <v>L</v>
      </c>
      <c r="K450" s="4">
        <f>INDEX(products!$A$1:$G$49,MATCH(orders!$D450,products!$A$1:$A$49,0), MATCH(orders!K$1,  products!$A$1:$G$1,0))</f>
        <v>0.5</v>
      </c>
      <c r="L450" s="7">
        <f>INDEX(products!$A$1:$G$49,MATCH(orders!$D450,products!$A$1:$A$49,0), MATCH(orders!L$1,  products!$A$1:$G$1,0))</f>
        <v>7.169999999999999</v>
      </c>
      <c r="M450" s="7">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 MATCH(orders!I$1,  products!$A$1:$G$1,0))</f>
        <v>Rob</v>
      </c>
      <c r="J451" t="str">
        <f>INDEX(products!$A$1:$G$49,MATCH(orders!$D451,products!$A$1:$A$49,0), MATCH(orders!J$1,  products!$A$1:$G$1,0))</f>
        <v>D</v>
      </c>
      <c r="K451" s="4">
        <f>INDEX(products!$A$1:$G$49,MATCH(orders!$D451,products!$A$1:$A$49,0), MATCH(orders!K$1,  products!$A$1:$G$1,0))</f>
        <v>0.2</v>
      </c>
      <c r="L451" s="7">
        <f>INDEX(products!$A$1:$G$49,MATCH(orders!$D451,products!$A$1:$A$49,0), MATCH(orders!L$1,  products!$A$1:$G$1,0))</f>
        <v>2.6849999999999996</v>
      </c>
      <c r="M451" s="7">
        <f t="shared" ref="M451:M514" si="21">L451*E451</f>
        <v>5.3699999999999992</v>
      </c>
      <c r="N451" t="str">
        <f t="shared" ref="N451:N514" si="22">IF(I451="Rob","Robusta", IF(I451="Exc","Excelsa", IF(I451="Ara", "Arabica", IF(I451="Lib", "Liberica", ""))))</f>
        <v>Robusta</v>
      </c>
      <c r="O451" t="str">
        <f t="shared" ref="O451:O514" si="23">IF(J451="M", "Medium", IF(J451="L", "Light",IF(J451="D","Dark","")))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 MATCH(orders!I$1,  products!$A$1:$G$1,0))</f>
        <v>Lib</v>
      </c>
      <c r="J452" t="str">
        <f>INDEX(products!$A$1:$G$49,MATCH(orders!$D452,products!$A$1:$A$49,0), MATCH(orders!J$1,  products!$A$1:$G$1,0))</f>
        <v>L</v>
      </c>
      <c r="K452" s="4">
        <f>INDEX(products!$A$1:$G$49,MATCH(orders!$D452,products!$A$1:$A$49,0), MATCH(orders!K$1,  products!$A$1:$G$1,0))</f>
        <v>0.2</v>
      </c>
      <c r="L452" s="7">
        <f>INDEX(products!$A$1:$G$49,MATCH(orders!$D452,products!$A$1:$A$49,0), MATCH(orders!L$1,  products!$A$1:$G$1,0))</f>
        <v>4.7549999999999999</v>
      </c>
      <c r="M452" s="7">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 MATCH(orders!I$1,  products!$A$1:$G$1,0))</f>
        <v>Rob</v>
      </c>
      <c r="J453" t="str">
        <f>INDEX(products!$A$1:$G$49,MATCH(orders!$D453,products!$A$1:$A$49,0), MATCH(orders!J$1,  products!$A$1:$G$1,0))</f>
        <v>D</v>
      </c>
      <c r="K453" s="4">
        <f>INDEX(products!$A$1:$G$49,MATCH(orders!$D453,products!$A$1:$A$49,0), MATCH(orders!K$1,  products!$A$1:$G$1,0))</f>
        <v>2.5</v>
      </c>
      <c r="L453" s="7">
        <f>INDEX(products!$A$1:$G$49,MATCH(orders!$D453,products!$A$1:$A$49,0), MATCH(orders!L$1,  products!$A$1:$G$1,0))</f>
        <v>20.584999999999997</v>
      </c>
      <c r="M453" s="7">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 MATCH(orders!I$1,  products!$A$1:$G$1,0))</f>
        <v>Ara</v>
      </c>
      <c r="J454" t="str">
        <f>INDEX(products!$A$1:$G$49,MATCH(orders!$D454,products!$A$1:$A$49,0), MATCH(orders!J$1,  products!$A$1:$G$1,0))</f>
        <v>L</v>
      </c>
      <c r="K454" s="4">
        <f>INDEX(products!$A$1:$G$49,MATCH(orders!$D454,products!$A$1:$A$49,0), MATCH(orders!K$1,  products!$A$1:$G$1,0))</f>
        <v>0.2</v>
      </c>
      <c r="L454" s="7">
        <f>INDEX(products!$A$1:$G$49,MATCH(orders!$D454,products!$A$1:$A$49,0), MATCH(orders!L$1,  products!$A$1:$G$1,0))</f>
        <v>3.8849999999999998</v>
      </c>
      <c r="M454" s="7">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 MATCH(orders!I$1,  products!$A$1:$G$1,0))</f>
        <v>Lib</v>
      </c>
      <c r="J455" t="str">
        <f>INDEX(products!$A$1:$G$49,MATCH(orders!$D455,products!$A$1:$A$49,0), MATCH(orders!J$1,  products!$A$1:$G$1,0))</f>
        <v>L</v>
      </c>
      <c r="K455" s="4">
        <f>INDEX(products!$A$1:$G$49,MATCH(orders!$D455,products!$A$1:$A$49,0), MATCH(orders!K$1,  products!$A$1:$G$1,0))</f>
        <v>0.5</v>
      </c>
      <c r="L455" s="7">
        <f>INDEX(products!$A$1:$G$49,MATCH(orders!$D455,products!$A$1:$A$49,0), MATCH(orders!L$1,  products!$A$1:$G$1,0))</f>
        <v>9.51</v>
      </c>
      <c r="M455" s="7">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 MATCH(orders!I$1,  products!$A$1:$G$1,0))</f>
        <v>Rob</v>
      </c>
      <c r="J456" t="str">
        <f>INDEX(products!$A$1:$G$49,MATCH(orders!$D456,products!$A$1:$A$49,0), MATCH(orders!J$1,  products!$A$1:$G$1,0))</f>
        <v>D</v>
      </c>
      <c r="K456" s="4">
        <f>INDEX(products!$A$1:$G$49,MATCH(orders!$D456,products!$A$1:$A$49,0), MATCH(orders!K$1,  products!$A$1:$G$1,0))</f>
        <v>2.5</v>
      </c>
      <c r="L456" s="7">
        <f>INDEX(products!$A$1:$G$49,MATCH(orders!$D456,products!$A$1:$A$49,0), MATCH(orders!L$1,  products!$A$1:$G$1,0))</f>
        <v>20.584999999999997</v>
      </c>
      <c r="M456" s="7">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 MATCH(orders!I$1,  products!$A$1:$G$1,0))</f>
        <v>Lib</v>
      </c>
      <c r="J457" t="str">
        <f>INDEX(products!$A$1:$G$49,MATCH(orders!$D457,products!$A$1:$A$49,0), MATCH(orders!J$1,  products!$A$1:$G$1,0))</f>
        <v>L</v>
      </c>
      <c r="K457" s="4">
        <f>INDEX(products!$A$1:$G$49,MATCH(orders!$D457,products!$A$1:$A$49,0), MATCH(orders!K$1,  products!$A$1:$G$1,0))</f>
        <v>0.2</v>
      </c>
      <c r="L457" s="7">
        <f>INDEX(products!$A$1:$G$49,MATCH(orders!$D457,products!$A$1:$A$49,0), MATCH(orders!L$1,  products!$A$1:$G$1,0))</f>
        <v>4.7549999999999999</v>
      </c>
      <c r="M457" s="7">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 MATCH(orders!I$1,  products!$A$1:$G$1,0))</f>
        <v>Rob</v>
      </c>
      <c r="J458" t="str">
        <f>INDEX(products!$A$1:$G$49,MATCH(orders!$D458,products!$A$1:$A$49,0), MATCH(orders!J$1,  products!$A$1:$G$1,0))</f>
        <v>D</v>
      </c>
      <c r="K458" s="4">
        <f>INDEX(products!$A$1:$G$49,MATCH(orders!$D458,products!$A$1:$A$49,0), MATCH(orders!K$1,  products!$A$1:$G$1,0))</f>
        <v>2.5</v>
      </c>
      <c r="L458" s="7">
        <f>INDEX(products!$A$1:$G$49,MATCH(orders!$D458,products!$A$1:$A$49,0), MATCH(orders!L$1,  products!$A$1:$G$1,0))</f>
        <v>20.584999999999997</v>
      </c>
      <c r="M458" s="7">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 MATCH(orders!I$1,  products!$A$1:$G$1,0))</f>
        <v>Lib</v>
      </c>
      <c r="J459" t="str">
        <f>INDEX(products!$A$1:$G$49,MATCH(orders!$D459,products!$A$1:$A$49,0), MATCH(orders!J$1,  products!$A$1:$G$1,0))</f>
        <v>L</v>
      </c>
      <c r="K459" s="4">
        <f>INDEX(products!$A$1:$G$49,MATCH(orders!$D459,products!$A$1:$A$49,0), MATCH(orders!K$1,  products!$A$1:$G$1,0))</f>
        <v>0.5</v>
      </c>
      <c r="L459" s="7">
        <f>INDEX(products!$A$1:$G$49,MATCH(orders!$D459,products!$A$1:$A$49,0), MATCH(orders!L$1,  products!$A$1:$G$1,0))</f>
        <v>9.51</v>
      </c>
      <c r="M459" s="7">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 MATCH(orders!I$1,  products!$A$1:$G$1,0))</f>
        <v>Ara</v>
      </c>
      <c r="J460" t="str">
        <f>INDEX(products!$A$1:$G$49,MATCH(orders!$D460,products!$A$1:$A$49,0), MATCH(orders!J$1,  products!$A$1:$G$1,0))</f>
        <v>M</v>
      </c>
      <c r="K460" s="4">
        <f>INDEX(products!$A$1:$G$49,MATCH(orders!$D460,products!$A$1:$A$49,0), MATCH(orders!K$1,  products!$A$1:$G$1,0))</f>
        <v>1</v>
      </c>
      <c r="L460" s="7">
        <f>INDEX(products!$A$1:$G$49,MATCH(orders!$D460,products!$A$1:$A$49,0), MATCH(orders!L$1,  products!$A$1:$G$1,0))</f>
        <v>11.25</v>
      </c>
      <c r="M460" s="7">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 MATCH(orders!I$1,  products!$A$1:$G$1,0))</f>
        <v>Lib</v>
      </c>
      <c r="J461" t="str">
        <f>INDEX(products!$A$1:$G$49,MATCH(orders!$D461,products!$A$1:$A$49,0), MATCH(orders!J$1,  products!$A$1:$G$1,0))</f>
        <v>L</v>
      </c>
      <c r="K461" s="4">
        <f>INDEX(products!$A$1:$G$49,MATCH(orders!$D461,products!$A$1:$A$49,0), MATCH(orders!K$1,  products!$A$1:$G$1,0))</f>
        <v>0.2</v>
      </c>
      <c r="L461" s="7">
        <f>INDEX(products!$A$1:$G$49,MATCH(orders!$D461,products!$A$1:$A$49,0), MATCH(orders!L$1,  products!$A$1:$G$1,0))</f>
        <v>4.7549999999999999</v>
      </c>
      <c r="M461" s="7">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 MATCH(orders!I$1,  products!$A$1:$G$1,0))</f>
        <v>Rob</v>
      </c>
      <c r="J462" t="str">
        <f>INDEX(products!$A$1:$G$49,MATCH(orders!$D462,products!$A$1:$A$49,0), MATCH(orders!J$1,  products!$A$1:$G$1,0))</f>
        <v>D</v>
      </c>
      <c r="K462" s="4">
        <f>INDEX(products!$A$1:$G$49,MATCH(orders!$D462,products!$A$1:$A$49,0), MATCH(orders!K$1,  products!$A$1:$G$1,0))</f>
        <v>0.5</v>
      </c>
      <c r="L462" s="7">
        <f>INDEX(products!$A$1:$G$49,MATCH(orders!$D462,products!$A$1:$A$49,0), MATCH(orders!L$1,  products!$A$1:$G$1,0))</f>
        <v>5.3699999999999992</v>
      </c>
      <c r="M462" s="7">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 MATCH(orders!I$1,  products!$A$1:$G$1,0))</f>
        <v>Rob</v>
      </c>
      <c r="J463" t="str">
        <f>INDEX(products!$A$1:$G$49,MATCH(orders!$D463,products!$A$1:$A$49,0), MATCH(orders!J$1,  products!$A$1:$G$1,0))</f>
        <v>D</v>
      </c>
      <c r="K463" s="4">
        <f>INDEX(products!$A$1:$G$49,MATCH(orders!$D463,products!$A$1:$A$49,0), MATCH(orders!K$1,  products!$A$1:$G$1,0))</f>
        <v>0.2</v>
      </c>
      <c r="L463" s="7">
        <f>INDEX(products!$A$1:$G$49,MATCH(orders!$D463,products!$A$1:$A$49,0), MATCH(orders!L$1,  products!$A$1:$G$1,0))</f>
        <v>2.6849999999999996</v>
      </c>
      <c r="M463" s="7">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 MATCH(orders!I$1,  products!$A$1:$G$1,0))</f>
        <v>Ara</v>
      </c>
      <c r="J464" t="str">
        <f>INDEX(products!$A$1:$G$49,MATCH(orders!$D464,products!$A$1:$A$49,0), MATCH(orders!J$1,  products!$A$1:$G$1,0))</f>
        <v>D</v>
      </c>
      <c r="K464" s="4">
        <f>INDEX(products!$A$1:$G$49,MATCH(orders!$D464,products!$A$1:$A$49,0), MATCH(orders!K$1,  products!$A$1:$G$1,0))</f>
        <v>1</v>
      </c>
      <c r="L464" s="7">
        <f>INDEX(products!$A$1:$G$49,MATCH(orders!$D464,products!$A$1:$A$49,0), MATCH(orders!L$1,  products!$A$1:$G$1,0))</f>
        <v>9.9499999999999993</v>
      </c>
      <c r="M464" s="7">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 MATCH(orders!I$1,  products!$A$1:$G$1,0))</f>
        <v>Exc</v>
      </c>
      <c r="J465" t="str">
        <f>INDEX(products!$A$1:$G$49,MATCH(orders!$D465,products!$A$1:$A$49,0), MATCH(orders!J$1,  products!$A$1:$G$1,0))</f>
        <v>M</v>
      </c>
      <c r="K465" s="4">
        <f>INDEX(products!$A$1:$G$49,MATCH(orders!$D465,products!$A$1:$A$49,0), MATCH(orders!K$1,  products!$A$1:$G$1,0))</f>
        <v>1</v>
      </c>
      <c r="L465" s="7">
        <f>INDEX(products!$A$1:$G$49,MATCH(orders!$D465,products!$A$1:$A$49,0), MATCH(orders!L$1,  products!$A$1:$G$1,0))</f>
        <v>13.75</v>
      </c>
      <c r="M465" s="7">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 MATCH(orders!I$1,  products!$A$1:$G$1,0))</f>
        <v>Lib</v>
      </c>
      <c r="J466" t="str">
        <f>INDEX(products!$A$1:$G$49,MATCH(orders!$D466,products!$A$1:$A$49,0), MATCH(orders!J$1,  products!$A$1:$G$1,0))</f>
        <v>D</v>
      </c>
      <c r="K466" s="4">
        <f>INDEX(products!$A$1:$G$49,MATCH(orders!$D466,products!$A$1:$A$49,0), MATCH(orders!K$1,  products!$A$1:$G$1,0))</f>
        <v>2.5</v>
      </c>
      <c r="L466" s="7">
        <f>INDEX(products!$A$1:$G$49,MATCH(orders!$D466,products!$A$1:$A$49,0), MATCH(orders!L$1,  products!$A$1:$G$1,0))</f>
        <v>29.784999999999997</v>
      </c>
      <c r="M466" s="7">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 MATCH(orders!I$1,  products!$A$1:$G$1,0))</f>
        <v>Rob</v>
      </c>
      <c r="J467" t="str">
        <f>INDEX(products!$A$1:$G$49,MATCH(orders!$D467,products!$A$1:$A$49,0), MATCH(orders!J$1,  products!$A$1:$G$1,0))</f>
        <v>D</v>
      </c>
      <c r="K467" s="4">
        <f>INDEX(products!$A$1:$G$49,MATCH(orders!$D467,products!$A$1:$A$49,0), MATCH(orders!K$1,  products!$A$1:$G$1,0))</f>
        <v>2.5</v>
      </c>
      <c r="L467" s="7">
        <f>INDEX(products!$A$1:$G$49,MATCH(orders!$D467,products!$A$1:$A$49,0), MATCH(orders!L$1,  products!$A$1:$G$1,0))</f>
        <v>20.584999999999997</v>
      </c>
      <c r="M467" s="7">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 MATCH(orders!I$1,  products!$A$1:$G$1,0))</f>
        <v>Ara</v>
      </c>
      <c r="J468" t="str">
        <f>INDEX(products!$A$1:$G$49,MATCH(orders!$D468,products!$A$1:$A$49,0), MATCH(orders!J$1,  products!$A$1:$G$1,0))</f>
        <v>D</v>
      </c>
      <c r="K468" s="4">
        <f>INDEX(products!$A$1:$G$49,MATCH(orders!$D468,products!$A$1:$A$49,0), MATCH(orders!K$1,  products!$A$1:$G$1,0))</f>
        <v>0.2</v>
      </c>
      <c r="L468" s="7">
        <f>INDEX(products!$A$1:$G$49,MATCH(orders!$D468,products!$A$1:$A$49,0), MATCH(orders!L$1,  products!$A$1:$G$1,0))</f>
        <v>2.9849999999999999</v>
      </c>
      <c r="M468" s="7">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 MATCH(orders!I$1,  products!$A$1:$G$1,0))</f>
        <v>Ara</v>
      </c>
      <c r="J469" t="str">
        <f>INDEX(products!$A$1:$G$49,MATCH(orders!$D469,products!$A$1:$A$49,0), MATCH(orders!J$1,  products!$A$1:$G$1,0))</f>
        <v>D</v>
      </c>
      <c r="K469" s="4">
        <f>INDEX(products!$A$1:$G$49,MATCH(orders!$D469,products!$A$1:$A$49,0), MATCH(orders!K$1,  products!$A$1:$G$1,0))</f>
        <v>0.5</v>
      </c>
      <c r="L469" s="7">
        <f>INDEX(products!$A$1:$G$49,MATCH(orders!$D469,products!$A$1:$A$49,0), MATCH(orders!L$1,  products!$A$1:$G$1,0))</f>
        <v>5.97</v>
      </c>
      <c r="M469" s="7">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 MATCH(orders!I$1,  products!$A$1:$G$1,0))</f>
        <v>Exc</v>
      </c>
      <c r="J470" t="str">
        <f>INDEX(products!$A$1:$G$49,MATCH(orders!$D470,products!$A$1:$A$49,0), MATCH(orders!J$1,  products!$A$1:$G$1,0))</f>
        <v>M</v>
      </c>
      <c r="K470" s="4">
        <f>INDEX(products!$A$1:$G$49,MATCH(orders!$D470,products!$A$1:$A$49,0), MATCH(orders!K$1,  products!$A$1:$G$1,0))</f>
        <v>1</v>
      </c>
      <c r="L470" s="7">
        <f>INDEX(products!$A$1:$G$49,MATCH(orders!$D470,products!$A$1:$A$49,0), MATCH(orders!L$1,  products!$A$1:$G$1,0))</f>
        <v>13.75</v>
      </c>
      <c r="M470" s="7">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 MATCH(orders!I$1,  products!$A$1:$G$1,0))</f>
        <v>Exc</v>
      </c>
      <c r="J471" t="str">
        <f>INDEX(products!$A$1:$G$49,MATCH(orders!$D471,products!$A$1:$A$49,0), MATCH(orders!J$1,  products!$A$1:$G$1,0))</f>
        <v>L</v>
      </c>
      <c r="K471" s="4">
        <f>INDEX(products!$A$1:$G$49,MATCH(orders!$D471,products!$A$1:$A$49,0), MATCH(orders!K$1,  products!$A$1:$G$1,0))</f>
        <v>0.2</v>
      </c>
      <c r="L471" s="7">
        <f>INDEX(products!$A$1:$G$49,MATCH(orders!$D471,products!$A$1:$A$49,0), MATCH(orders!L$1,  products!$A$1:$G$1,0))</f>
        <v>4.4550000000000001</v>
      </c>
      <c r="M471" s="7">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 MATCH(orders!I$1,  products!$A$1:$G$1,0))</f>
        <v>Ara</v>
      </c>
      <c r="J472" t="str">
        <f>INDEX(products!$A$1:$G$49,MATCH(orders!$D472,products!$A$1:$A$49,0), MATCH(orders!J$1,  products!$A$1:$G$1,0))</f>
        <v>M</v>
      </c>
      <c r="K472" s="4">
        <f>INDEX(products!$A$1:$G$49,MATCH(orders!$D472,products!$A$1:$A$49,0), MATCH(orders!K$1,  products!$A$1:$G$1,0))</f>
        <v>0.5</v>
      </c>
      <c r="L472" s="7">
        <f>INDEX(products!$A$1:$G$49,MATCH(orders!$D472,products!$A$1:$A$49,0), MATCH(orders!L$1,  products!$A$1:$G$1,0))</f>
        <v>6.75</v>
      </c>
      <c r="M472" s="7">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 MATCH(orders!I$1,  products!$A$1:$G$1,0))</f>
        <v>Lib</v>
      </c>
      <c r="J473" t="str">
        <f>INDEX(products!$A$1:$G$49,MATCH(orders!$D473,products!$A$1:$A$49,0), MATCH(orders!J$1,  products!$A$1:$G$1,0))</f>
        <v>M</v>
      </c>
      <c r="K473" s="4">
        <f>INDEX(products!$A$1:$G$49,MATCH(orders!$D473,products!$A$1:$A$49,0), MATCH(orders!K$1,  products!$A$1:$G$1,0))</f>
        <v>2.5</v>
      </c>
      <c r="L473" s="7">
        <f>INDEX(products!$A$1:$G$49,MATCH(orders!$D473,products!$A$1:$A$49,0), MATCH(orders!L$1,  products!$A$1:$G$1,0))</f>
        <v>33.464999999999996</v>
      </c>
      <c r="M473" s="7">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 MATCH(orders!I$1,  products!$A$1:$G$1,0))</f>
        <v>Ara</v>
      </c>
      <c r="J474" t="str">
        <f>INDEX(products!$A$1:$G$49,MATCH(orders!$D474,products!$A$1:$A$49,0), MATCH(orders!J$1,  products!$A$1:$G$1,0))</f>
        <v>D</v>
      </c>
      <c r="K474" s="4">
        <f>INDEX(products!$A$1:$G$49,MATCH(orders!$D474,products!$A$1:$A$49,0), MATCH(orders!K$1,  products!$A$1:$G$1,0))</f>
        <v>0.2</v>
      </c>
      <c r="L474" s="7">
        <f>INDEX(products!$A$1:$G$49,MATCH(orders!$D474,products!$A$1:$A$49,0), MATCH(orders!L$1,  products!$A$1:$G$1,0))</f>
        <v>2.9849999999999999</v>
      </c>
      <c r="M474" s="7">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 MATCH(orders!I$1,  products!$A$1:$G$1,0))</f>
        <v>Ara</v>
      </c>
      <c r="J475" t="str">
        <f>INDEX(products!$A$1:$G$49,MATCH(orders!$D475,products!$A$1:$A$49,0), MATCH(orders!J$1,  products!$A$1:$G$1,0))</f>
        <v>L</v>
      </c>
      <c r="K475" s="4">
        <f>INDEX(products!$A$1:$G$49,MATCH(orders!$D475,products!$A$1:$A$49,0), MATCH(orders!K$1,  products!$A$1:$G$1,0))</f>
        <v>1</v>
      </c>
      <c r="L475" s="7">
        <f>INDEX(products!$A$1:$G$49,MATCH(orders!$D475,products!$A$1:$A$49,0), MATCH(orders!L$1,  products!$A$1:$G$1,0))</f>
        <v>12.95</v>
      </c>
      <c r="M475" s="7">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 MATCH(orders!I$1,  products!$A$1:$G$1,0))</f>
        <v>Exc</v>
      </c>
      <c r="J476" t="str">
        <f>INDEX(products!$A$1:$G$49,MATCH(orders!$D476,products!$A$1:$A$49,0), MATCH(orders!J$1,  products!$A$1:$G$1,0))</f>
        <v>M</v>
      </c>
      <c r="K476" s="4">
        <f>INDEX(products!$A$1:$G$49,MATCH(orders!$D476,products!$A$1:$A$49,0), MATCH(orders!K$1,  products!$A$1:$G$1,0))</f>
        <v>2.5</v>
      </c>
      <c r="L476" s="7">
        <f>INDEX(products!$A$1:$G$49,MATCH(orders!$D476,products!$A$1:$A$49,0), MATCH(orders!L$1,  products!$A$1:$G$1,0))</f>
        <v>31.624999999999996</v>
      </c>
      <c r="M476" s="7">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 MATCH(orders!I$1,  products!$A$1:$G$1,0))</f>
        <v>Lib</v>
      </c>
      <c r="J477" t="str">
        <f>INDEX(products!$A$1:$G$49,MATCH(orders!$D477,products!$A$1:$A$49,0), MATCH(orders!J$1,  products!$A$1:$G$1,0))</f>
        <v>M</v>
      </c>
      <c r="K477" s="4">
        <f>INDEX(products!$A$1:$G$49,MATCH(orders!$D477,products!$A$1:$A$49,0), MATCH(orders!K$1,  products!$A$1:$G$1,0))</f>
        <v>0.2</v>
      </c>
      <c r="L477" s="7">
        <f>INDEX(products!$A$1:$G$49,MATCH(orders!$D477,products!$A$1:$A$49,0), MATCH(orders!L$1,  products!$A$1:$G$1,0))</f>
        <v>4.3650000000000002</v>
      </c>
      <c r="M477" s="7">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 MATCH(orders!I$1,  products!$A$1:$G$1,0))</f>
        <v>Exc</v>
      </c>
      <c r="J478" t="str">
        <f>INDEX(products!$A$1:$G$49,MATCH(orders!$D478,products!$A$1:$A$49,0), MATCH(orders!J$1,  products!$A$1:$G$1,0))</f>
        <v>L</v>
      </c>
      <c r="K478" s="4">
        <f>INDEX(products!$A$1:$G$49,MATCH(orders!$D478,products!$A$1:$A$49,0), MATCH(orders!K$1,  products!$A$1:$G$1,0))</f>
        <v>0.2</v>
      </c>
      <c r="L478" s="7">
        <f>INDEX(products!$A$1:$G$49,MATCH(orders!$D478,products!$A$1:$A$49,0), MATCH(orders!L$1,  products!$A$1:$G$1,0))</f>
        <v>4.4550000000000001</v>
      </c>
      <c r="M478" s="7">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 MATCH(orders!I$1,  products!$A$1:$G$1,0))</f>
        <v>Lib</v>
      </c>
      <c r="J479" t="str">
        <f>INDEX(products!$A$1:$G$49,MATCH(orders!$D479,products!$A$1:$A$49,0), MATCH(orders!J$1,  products!$A$1:$G$1,0))</f>
        <v>M</v>
      </c>
      <c r="K479" s="4">
        <f>INDEX(products!$A$1:$G$49,MATCH(orders!$D479,products!$A$1:$A$49,0), MATCH(orders!K$1,  products!$A$1:$G$1,0))</f>
        <v>0.2</v>
      </c>
      <c r="L479" s="7">
        <f>INDEX(products!$A$1:$G$49,MATCH(orders!$D479,products!$A$1:$A$49,0), MATCH(orders!L$1,  products!$A$1:$G$1,0))</f>
        <v>4.3650000000000002</v>
      </c>
      <c r="M479" s="7">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 MATCH(orders!I$1,  products!$A$1:$G$1,0))</f>
        <v>Rob</v>
      </c>
      <c r="J480" t="str">
        <f>INDEX(products!$A$1:$G$49,MATCH(orders!$D480,products!$A$1:$A$49,0), MATCH(orders!J$1,  products!$A$1:$G$1,0))</f>
        <v>D</v>
      </c>
      <c r="K480" s="4">
        <f>INDEX(products!$A$1:$G$49,MATCH(orders!$D480,products!$A$1:$A$49,0), MATCH(orders!K$1,  products!$A$1:$G$1,0))</f>
        <v>1</v>
      </c>
      <c r="L480" s="7">
        <f>INDEX(products!$A$1:$G$49,MATCH(orders!$D480,products!$A$1:$A$49,0), MATCH(orders!L$1,  products!$A$1:$G$1,0))</f>
        <v>8.9499999999999993</v>
      </c>
      <c r="M480" s="7">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 MATCH(orders!I$1,  products!$A$1:$G$1,0))</f>
        <v>Exc</v>
      </c>
      <c r="J481" t="str">
        <f>INDEX(products!$A$1:$G$49,MATCH(orders!$D481,products!$A$1:$A$49,0), MATCH(orders!J$1,  products!$A$1:$G$1,0))</f>
        <v>M</v>
      </c>
      <c r="K481" s="4">
        <f>INDEX(products!$A$1:$G$49,MATCH(orders!$D481,products!$A$1:$A$49,0), MATCH(orders!K$1,  products!$A$1:$G$1,0))</f>
        <v>2.5</v>
      </c>
      <c r="L481" s="7">
        <f>INDEX(products!$A$1:$G$49,MATCH(orders!$D481,products!$A$1:$A$49,0), MATCH(orders!L$1,  products!$A$1:$G$1,0))</f>
        <v>31.624999999999996</v>
      </c>
      <c r="M481" s="7">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 MATCH(orders!I$1,  products!$A$1:$G$1,0))</f>
        <v>Exc</v>
      </c>
      <c r="J482" t="str">
        <f>INDEX(products!$A$1:$G$49,MATCH(orders!$D482,products!$A$1:$A$49,0), MATCH(orders!J$1,  products!$A$1:$G$1,0))</f>
        <v>M</v>
      </c>
      <c r="K482" s="4">
        <f>INDEX(products!$A$1:$G$49,MATCH(orders!$D482,products!$A$1:$A$49,0), MATCH(orders!K$1,  products!$A$1:$G$1,0))</f>
        <v>0.2</v>
      </c>
      <c r="L482" s="7">
        <f>INDEX(products!$A$1:$G$49,MATCH(orders!$D482,products!$A$1:$A$49,0), MATCH(orders!L$1,  products!$A$1:$G$1,0))</f>
        <v>4.125</v>
      </c>
      <c r="M482" s="7">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 MATCH(orders!I$1,  products!$A$1:$G$1,0))</f>
        <v>Rob</v>
      </c>
      <c r="J483" t="str">
        <f>INDEX(products!$A$1:$G$49,MATCH(orders!$D483,products!$A$1:$A$49,0), MATCH(orders!J$1,  products!$A$1:$G$1,0))</f>
        <v>L</v>
      </c>
      <c r="K483" s="4">
        <f>INDEX(products!$A$1:$G$49,MATCH(orders!$D483,products!$A$1:$A$49,0), MATCH(orders!K$1,  products!$A$1:$G$1,0))</f>
        <v>1</v>
      </c>
      <c r="L483" s="7">
        <f>INDEX(products!$A$1:$G$49,MATCH(orders!$D483,products!$A$1:$A$49,0), MATCH(orders!L$1,  products!$A$1:$G$1,0))</f>
        <v>11.95</v>
      </c>
      <c r="M483" s="7">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 MATCH(orders!I$1,  products!$A$1:$G$1,0))</f>
        <v>Exc</v>
      </c>
      <c r="J484" t="str">
        <f>INDEX(products!$A$1:$G$49,MATCH(orders!$D484,products!$A$1:$A$49,0), MATCH(orders!J$1,  products!$A$1:$G$1,0))</f>
        <v>D</v>
      </c>
      <c r="K484" s="4">
        <f>INDEX(products!$A$1:$G$49,MATCH(orders!$D484,products!$A$1:$A$49,0), MATCH(orders!K$1,  products!$A$1:$G$1,0))</f>
        <v>2.5</v>
      </c>
      <c r="L484" s="7">
        <f>INDEX(products!$A$1:$G$49,MATCH(orders!$D484,products!$A$1:$A$49,0), MATCH(orders!L$1,  products!$A$1:$G$1,0))</f>
        <v>27.945</v>
      </c>
      <c r="M484" s="7">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 MATCH(orders!I$1,  products!$A$1:$G$1,0))</f>
        <v>Lib</v>
      </c>
      <c r="J485" t="str">
        <f>INDEX(products!$A$1:$G$49,MATCH(orders!$D485,products!$A$1:$A$49,0), MATCH(orders!J$1,  products!$A$1:$G$1,0))</f>
        <v>D</v>
      </c>
      <c r="K485" s="4">
        <f>INDEX(products!$A$1:$G$49,MATCH(orders!$D485,products!$A$1:$A$49,0), MATCH(orders!K$1,  products!$A$1:$G$1,0))</f>
        <v>2.5</v>
      </c>
      <c r="L485" s="7">
        <f>INDEX(products!$A$1:$G$49,MATCH(orders!$D485,products!$A$1:$A$49,0), MATCH(orders!L$1,  products!$A$1:$G$1,0))</f>
        <v>29.784999999999997</v>
      </c>
      <c r="M485" s="7">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 MATCH(orders!I$1,  products!$A$1:$G$1,0))</f>
        <v>Lib</v>
      </c>
      <c r="J486" t="str">
        <f>INDEX(products!$A$1:$G$49,MATCH(orders!$D486,products!$A$1:$A$49,0), MATCH(orders!J$1,  products!$A$1:$G$1,0))</f>
        <v>L</v>
      </c>
      <c r="K486" s="4">
        <f>INDEX(products!$A$1:$G$49,MATCH(orders!$D486,products!$A$1:$A$49,0), MATCH(orders!K$1,  products!$A$1:$G$1,0))</f>
        <v>0.5</v>
      </c>
      <c r="L486" s="7">
        <f>INDEX(products!$A$1:$G$49,MATCH(orders!$D486,products!$A$1:$A$49,0), MATCH(orders!L$1,  products!$A$1:$G$1,0))</f>
        <v>9.51</v>
      </c>
      <c r="M486" s="7">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 MATCH(orders!I$1,  products!$A$1:$G$1,0))</f>
        <v>Rob</v>
      </c>
      <c r="J487" t="str">
        <f>INDEX(products!$A$1:$G$49,MATCH(orders!$D487,products!$A$1:$A$49,0), MATCH(orders!J$1,  products!$A$1:$G$1,0))</f>
        <v>L</v>
      </c>
      <c r="K487" s="4">
        <f>INDEX(products!$A$1:$G$49,MATCH(orders!$D487,products!$A$1:$A$49,0), MATCH(orders!K$1,  products!$A$1:$G$1,0))</f>
        <v>0.2</v>
      </c>
      <c r="L487" s="7">
        <f>INDEX(products!$A$1:$G$49,MATCH(orders!$D487,products!$A$1:$A$49,0), MATCH(orders!L$1,  products!$A$1:$G$1,0))</f>
        <v>3.5849999999999995</v>
      </c>
      <c r="M487" s="7">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 MATCH(orders!I$1,  products!$A$1:$G$1,0))</f>
        <v>Lib</v>
      </c>
      <c r="J488" t="str">
        <f>INDEX(products!$A$1:$G$49,MATCH(orders!$D488,products!$A$1:$A$49,0), MATCH(orders!J$1,  products!$A$1:$G$1,0))</f>
        <v>M</v>
      </c>
      <c r="K488" s="4">
        <f>INDEX(products!$A$1:$G$49,MATCH(orders!$D488,products!$A$1:$A$49,0), MATCH(orders!K$1,  products!$A$1:$G$1,0))</f>
        <v>0.5</v>
      </c>
      <c r="L488" s="7">
        <f>INDEX(products!$A$1:$G$49,MATCH(orders!$D488,products!$A$1:$A$49,0), MATCH(orders!L$1,  products!$A$1:$G$1,0))</f>
        <v>8.73</v>
      </c>
      <c r="M488" s="7">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 MATCH(orders!I$1,  products!$A$1:$G$1,0))</f>
        <v>Exc</v>
      </c>
      <c r="J489" t="str">
        <f>INDEX(products!$A$1:$G$49,MATCH(orders!$D489,products!$A$1:$A$49,0), MATCH(orders!J$1,  products!$A$1:$G$1,0))</f>
        <v>D</v>
      </c>
      <c r="K489" s="4">
        <f>INDEX(products!$A$1:$G$49,MATCH(orders!$D489,products!$A$1:$A$49,0), MATCH(orders!K$1,  products!$A$1:$G$1,0))</f>
        <v>1</v>
      </c>
      <c r="L489" s="7">
        <f>INDEX(products!$A$1:$G$49,MATCH(orders!$D489,products!$A$1:$A$49,0), MATCH(orders!L$1,  products!$A$1:$G$1,0))</f>
        <v>12.15</v>
      </c>
      <c r="M489" s="7">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 MATCH(orders!I$1,  products!$A$1:$G$1,0))</f>
        <v>Rob</v>
      </c>
      <c r="J490" t="str">
        <f>INDEX(products!$A$1:$G$49,MATCH(orders!$D490,products!$A$1:$A$49,0), MATCH(orders!J$1,  products!$A$1:$G$1,0))</f>
        <v>M</v>
      </c>
      <c r="K490" s="4">
        <f>INDEX(products!$A$1:$G$49,MATCH(orders!$D490,products!$A$1:$A$49,0), MATCH(orders!K$1,  products!$A$1:$G$1,0))</f>
        <v>0.2</v>
      </c>
      <c r="L490" s="7">
        <f>INDEX(products!$A$1:$G$49,MATCH(orders!$D490,products!$A$1:$A$49,0), MATCH(orders!L$1,  products!$A$1:$G$1,0))</f>
        <v>2.9849999999999999</v>
      </c>
      <c r="M490" s="7">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 MATCH(orders!I$1,  products!$A$1:$G$1,0))</f>
        <v>Lib</v>
      </c>
      <c r="J491" t="str">
        <f>INDEX(products!$A$1:$G$49,MATCH(orders!$D491,products!$A$1:$A$49,0), MATCH(orders!J$1,  products!$A$1:$G$1,0))</f>
        <v>L</v>
      </c>
      <c r="K491" s="4">
        <f>INDEX(products!$A$1:$G$49,MATCH(orders!$D491,products!$A$1:$A$49,0), MATCH(orders!K$1,  products!$A$1:$G$1,0))</f>
        <v>1</v>
      </c>
      <c r="L491" s="7">
        <f>INDEX(products!$A$1:$G$49,MATCH(orders!$D491,products!$A$1:$A$49,0), MATCH(orders!L$1,  products!$A$1:$G$1,0))</f>
        <v>15.85</v>
      </c>
      <c r="M491" s="7">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 MATCH(orders!I$1,  products!$A$1:$G$1,0))</f>
        <v>Lib</v>
      </c>
      <c r="J492" t="str">
        <f>INDEX(products!$A$1:$G$49,MATCH(orders!$D492,products!$A$1:$A$49,0), MATCH(orders!J$1,  products!$A$1:$G$1,0))</f>
        <v>D</v>
      </c>
      <c r="K492" s="4">
        <f>INDEX(products!$A$1:$G$49,MATCH(orders!$D492,products!$A$1:$A$49,0), MATCH(orders!K$1,  products!$A$1:$G$1,0))</f>
        <v>0.5</v>
      </c>
      <c r="L492" s="7">
        <f>INDEX(products!$A$1:$G$49,MATCH(orders!$D492,products!$A$1:$A$49,0), MATCH(orders!L$1,  products!$A$1:$G$1,0))</f>
        <v>7.77</v>
      </c>
      <c r="M492" s="7">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 MATCH(orders!I$1,  products!$A$1:$G$1,0))</f>
        <v>Lib</v>
      </c>
      <c r="J493" t="str">
        <f>INDEX(products!$A$1:$G$49,MATCH(orders!$D493,products!$A$1:$A$49,0), MATCH(orders!J$1,  products!$A$1:$G$1,0))</f>
        <v>D</v>
      </c>
      <c r="K493" s="4">
        <f>INDEX(products!$A$1:$G$49,MATCH(orders!$D493,products!$A$1:$A$49,0), MATCH(orders!K$1,  products!$A$1:$G$1,0))</f>
        <v>0.2</v>
      </c>
      <c r="L493" s="7">
        <f>INDEX(products!$A$1:$G$49,MATCH(orders!$D493,products!$A$1:$A$49,0), MATCH(orders!L$1,  products!$A$1:$G$1,0))</f>
        <v>3.8849999999999998</v>
      </c>
      <c r="M493" s="7">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 MATCH(orders!I$1,  products!$A$1:$G$1,0))</f>
        <v>Exc</v>
      </c>
      <c r="J494" t="str">
        <f>INDEX(products!$A$1:$G$49,MATCH(orders!$D494,products!$A$1:$A$49,0), MATCH(orders!J$1,  products!$A$1:$G$1,0))</f>
        <v>M</v>
      </c>
      <c r="K494" s="4">
        <f>INDEX(products!$A$1:$G$49,MATCH(orders!$D494,products!$A$1:$A$49,0), MATCH(orders!K$1,  products!$A$1:$G$1,0))</f>
        <v>0.2</v>
      </c>
      <c r="L494" s="7">
        <f>INDEX(products!$A$1:$G$49,MATCH(orders!$D494,products!$A$1:$A$49,0), MATCH(orders!L$1,  products!$A$1:$G$1,0))</f>
        <v>4.125</v>
      </c>
      <c r="M494" s="7">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 MATCH(orders!I$1,  products!$A$1:$G$1,0))</f>
        <v>Rob</v>
      </c>
      <c r="J495" t="str">
        <f>INDEX(products!$A$1:$G$49,MATCH(orders!$D495,products!$A$1:$A$49,0), MATCH(orders!J$1,  products!$A$1:$G$1,0))</f>
        <v>M</v>
      </c>
      <c r="K495" s="4">
        <f>INDEX(products!$A$1:$G$49,MATCH(orders!$D495,products!$A$1:$A$49,0), MATCH(orders!K$1,  products!$A$1:$G$1,0))</f>
        <v>0.5</v>
      </c>
      <c r="L495" s="7">
        <f>INDEX(products!$A$1:$G$49,MATCH(orders!$D495,products!$A$1:$A$49,0), MATCH(orders!L$1,  products!$A$1:$G$1,0))</f>
        <v>5.97</v>
      </c>
      <c r="M495" s="7">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 MATCH(orders!I$1,  products!$A$1:$G$1,0))</f>
        <v>Lib</v>
      </c>
      <c r="J496" t="str">
        <f>INDEX(products!$A$1:$G$49,MATCH(orders!$D496,products!$A$1:$A$49,0), MATCH(orders!J$1,  products!$A$1:$G$1,0))</f>
        <v>L</v>
      </c>
      <c r="K496" s="4">
        <f>INDEX(products!$A$1:$G$49,MATCH(orders!$D496,products!$A$1:$A$49,0), MATCH(orders!K$1,  products!$A$1:$G$1,0))</f>
        <v>1</v>
      </c>
      <c r="L496" s="7">
        <f>INDEX(products!$A$1:$G$49,MATCH(orders!$D496,products!$A$1:$A$49,0), MATCH(orders!L$1,  products!$A$1:$G$1,0))</f>
        <v>15.85</v>
      </c>
      <c r="M496" s="7">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 MATCH(orders!I$1,  products!$A$1:$G$1,0))</f>
        <v>Lib</v>
      </c>
      <c r="J497" t="str">
        <f>INDEX(products!$A$1:$G$49,MATCH(orders!$D497,products!$A$1:$A$49,0), MATCH(orders!J$1,  products!$A$1:$G$1,0))</f>
        <v>L</v>
      </c>
      <c r="K497" s="4">
        <f>INDEX(products!$A$1:$G$49,MATCH(orders!$D497,products!$A$1:$A$49,0), MATCH(orders!K$1,  products!$A$1:$G$1,0))</f>
        <v>1</v>
      </c>
      <c r="L497" s="7">
        <f>INDEX(products!$A$1:$G$49,MATCH(orders!$D497,products!$A$1:$A$49,0), MATCH(orders!L$1,  products!$A$1:$G$1,0))</f>
        <v>15.85</v>
      </c>
      <c r="M497" s="7">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 MATCH(orders!I$1,  products!$A$1:$G$1,0))</f>
        <v>Exc</v>
      </c>
      <c r="J498" t="str">
        <f>INDEX(products!$A$1:$G$49,MATCH(orders!$D498,products!$A$1:$A$49,0), MATCH(orders!J$1,  products!$A$1:$G$1,0))</f>
        <v>D</v>
      </c>
      <c r="K498" s="4">
        <f>INDEX(products!$A$1:$G$49,MATCH(orders!$D498,products!$A$1:$A$49,0), MATCH(orders!K$1,  products!$A$1:$G$1,0))</f>
        <v>0.2</v>
      </c>
      <c r="L498" s="7">
        <f>INDEX(products!$A$1:$G$49,MATCH(orders!$D498,products!$A$1:$A$49,0), MATCH(orders!L$1,  products!$A$1:$G$1,0))</f>
        <v>3.645</v>
      </c>
      <c r="M498" s="7">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 MATCH(orders!I$1,  products!$A$1:$G$1,0))</f>
        <v>Ara</v>
      </c>
      <c r="J499" t="str">
        <f>INDEX(products!$A$1:$G$49,MATCH(orders!$D499,products!$A$1:$A$49,0), MATCH(orders!J$1,  products!$A$1:$G$1,0))</f>
        <v>D</v>
      </c>
      <c r="K499" s="4">
        <f>INDEX(products!$A$1:$G$49,MATCH(orders!$D499,products!$A$1:$A$49,0), MATCH(orders!K$1,  products!$A$1:$G$1,0))</f>
        <v>1</v>
      </c>
      <c r="L499" s="7">
        <f>INDEX(products!$A$1:$G$49,MATCH(orders!$D499,products!$A$1:$A$49,0), MATCH(orders!L$1,  products!$A$1:$G$1,0))</f>
        <v>9.9499999999999993</v>
      </c>
      <c r="M499" s="7">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 MATCH(orders!I$1,  products!$A$1:$G$1,0))</f>
        <v>Rob</v>
      </c>
      <c r="J500" t="str">
        <f>INDEX(products!$A$1:$G$49,MATCH(orders!$D500,products!$A$1:$A$49,0), MATCH(orders!J$1,  products!$A$1:$G$1,0))</f>
        <v>M</v>
      </c>
      <c r="K500" s="4">
        <f>INDEX(products!$A$1:$G$49,MATCH(orders!$D500,products!$A$1:$A$49,0), MATCH(orders!K$1,  products!$A$1:$G$1,0))</f>
        <v>1</v>
      </c>
      <c r="L500" s="7">
        <f>INDEX(products!$A$1:$G$49,MATCH(orders!$D500,products!$A$1:$A$49,0), MATCH(orders!L$1,  products!$A$1:$G$1,0))</f>
        <v>9.9499999999999993</v>
      </c>
      <c r="M500" s="7">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 MATCH(orders!I$1,  products!$A$1:$G$1,0))</f>
        <v>Rob</v>
      </c>
      <c r="J501" t="str">
        <f>INDEX(products!$A$1:$G$49,MATCH(orders!$D501,products!$A$1:$A$49,0), MATCH(orders!J$1,  products!$A$1:$G$1,0))</f>
        <v>D</v>
      </c>
      <c r="K501" s="4">
        <f>INDEX(products!$A$1:$G$49,MATCH(orders!$D501,products!$A$1:$A$49,0), MATCH(orders!K$1,  products!$A$1:$G$1,0))</f>
        <v>0.2</v>
      </c>
      <c r="L501" s="7">
        <f>INDEX(products!$A$1:$G$49,MATCH(orders!$D501,products!$A$1:$A$49,0), MATCH(orders!L$1,  products!$A$1:$G$1,0))</f>
        <v>2.6849999999999996</v>
      </c>
      <c r="M501" s="7">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 MATCH(orders!I$1,  products!$A$1:$G$1,0))</f>
        <v>Rob</v>
      </c>
      <c r="J502" t="str">
        <f>INDEX(products!$A$1:$G$49,MATCH(orders!$D502,products!$A$1:$A$49,0), MATCH(orders!J$1,  products!$A$1:$G$1,0))</f>
        <v>L</v>
      </c>
      <c r="K502" s="4">
        <f>INDEX(products!$A$1:$G$49,MATCH(orders!$D502,products!$A$1:$A$49,0), MATCH(orders!K$1,  products!$A$1:$G$1,0))</f>
        <v>1</v>
      </c>
      <c r="L502" s="7">
        <f>INDEX(products!$A$1:$G$49,MATCH(orders!$D502,products!$A$1:$A$49,0), MATCH(orders!L$1,  products!$A$1:$G$1,0))</f>
        <v>11.95</v>
      </c>
      <c r="M502" s="7">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 MATCH(orders!I$1,  products!$A$1:$G$1,0))</f>
        <v>Rob</v>
      </c>
      <c r="J503" t="str">
        <f>INDEX(products!$A$1:$G$49,MATCH(orders!$D503,products!$A$1:$A$49,0), MATCH(orders!J$1,  products!$A$1:$G$1,0))</f>
        <v>M</v>
      </c>
      <c r="K503" s="4">
        <f>INDEX(products!$A$1:$G$49,MATCH(orders!$D503,products!$A$1:$A$49,0), MATCH(orders!K$1,  products!$A$1:$G$1,0))</f>
        <v>0.2</v>
      </c>
      <c r="L503" s="7">
        <f>INDEX(products!$A$1:$G$49,MATCH(orders!$D503,products!$A$1:$A$49,0), MATCH(orders!L$1,  products!$A$1:$G$1,0))</f>
        <v>2.9849999999999999</v>
      </c>
      <c r="M503" s="7">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 MATCH(orders!I$1,  products!$A$1:$G$1,0))</f>
        <v>Exc</v>
      </c>
      <c r="J504" t="str">
        <f>INDEX(products!$A$1:$G$49,MATCH(orders!$D504,products!$A$1:$A$49,0), MATCH(orders!J$1,  products!$A$1:$G$1,0))</f>
        <v>M</v>
      </c>
      <c r="K504" s="4">
        <f>INDEX(products!$A$1:$G$49,MATCH(orders!$D504,products!$A$1:$A$49,0), MATCH(orders!K$1,  products!$A$1:$G$1,0))</f>
        <v>0.2</v>
      </c>
      <c r="L504" s="7">
        <f>INDEX(products!$A$1:$G$49,MATCH(orders!$D504,products!$A$1:$A$49,0), MATCH(orders!L$1,  products!$A$1:$G$1,0))</f>
        <v>4.125</v>
      </c>
      <c r="M504" s="7">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 MATCH(orders!I$1,  products!$A$1:$G$1,0))</f>
        <v>Lib</v>
      </c>
      <c r="J505" t="str">
        <f>INDEX(products!$A$1:$G$49,MATCH(orders!$D505,products!$A$1:$A$49,0), MATCH(orders!J$1,  products!$A$1:$G$1,0))</f>
        <v>D</v>
      </c>
      <c r="K505" s="4">
        <f>INDEX(products!$A$1:$G$49,MATCH(orders!$D505,products!$A$1:$A$49,0), MATCH(orders!K$1,  products!$A$1:$G$1,0))</f>
        <v>1</v>
      </c>
      <c r="L505" s="7">
        <f>INDEX(products!$A$1:$G$49,MATCH(orders!$D505,products!$A$1:$A$49,0), MATCH(orders!L$1,  products!$A$1:$G$1,0))</f>
        <v>12.95</v>
      </c>
      <c r="M505" s="7">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 MATCH(orders!I$1,  products!$A$1:$G$1,0))</f>
        <v>Lib</v>
      </c>
      <c r="J506" t="str">
        <f>INDEX(products!$A$1:$G$49,MATCH(orders!$D506,products!$A$1:$A$49,0), MATCH(orders!J$1,  products!$A$1:$G$1,0))</f>
        <v>L</v>
      </c>
      <c r="K506" s="4">
        <f>INDEX(products!$A$1:$G$49,MATCH(orders!$D506,products!$A$1:$A$49,0), MATCH(orders!K$1,  products!$A$1:$G$1,0))</f>
        <v>0.2</v>
      </c>
      <c r="L506" s="7">
        <f>INDEX(products!$A$1:$G$49,MATCH(orders!$D506,products!$A$1:$A$49,0), MATCH(orders!L$1,  products!$A$1:$G$1,0))</f>
        <v>4.7549999999999999</v>
      </c>
      <c r="M506" s="7">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 MATCH(orders!I$1,  products!$A$1:$G$1,0))</f>
        <v>Lib</v>
      </c>
      <c r="J507" t="str">
        <f>INDEX(products!$A$1:$G$49,MATCH(orders!$D507,products!$A$1:$A$49,0), MATCH(orders!J$1,  products!$A$1:$G$1,0))</f>
        <v>M</v>
      </c>
      <c r="K507" s="4">
        <f>INDEX(products!$A$1:$G$49,MATCH(orders!$D507,products!$A$1:$A$49,0), MATCH(orders!K$1,  products!$A$1:$G$1,0))</f>
        <v>0.2</v>
      </c>
      <c r="L507" s="7">
        <f>INDEX(products!$A$1:$G$49,MATCH(orders!$D507,products!$A$1:$A$49,0), MATCH(orders!L$1,  products!$A$1:$G$1,0))</f>
        <v>4.3650000000000002</v>
      </c>
      <c r="M507" s="7">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 MATCH(orders!I$1,  products!$A$1:$G$1,0))</f>
        <v>Ara</v>
      </c>
      <c r="J508" t="str">
        <f>INDEX(products!$A$1:$G$49,MATCH(orders!$D508,products!$A$1:$A$49,0), MATCH(orders!J$1,  products!$A$1:$G$1,0))</f>
        <v>L</v>
      </c>
      <c r="K508" s="4">
        <f>INDEX(products!$A$1:$G$49,MATCH(orders!$D508,products!$A$1:$A$49,0), MATCH(orders!K$1,  products!$A$1:$G$1,0))</f>
        <v>1</v>
      </c>
      <c r="L508" s="7">
        <f>INDEX(products!$A$1:$G$49,MATCH(orders!$D508,products!$A$1:$A$49,0), MATCH(orders!L$1,  products!$A$1:$G$1,0))</f>
        <v>12.95</v>
      </c>
      <c r="M508" s="7">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 MATCH(orders!I$1,  products!$A$1:$G$1,0))</f>
        <v>Ara</v>
      </c>
      <c r="J509" t="str">
        <f>INDEX(products!$A$1:$G$49,MATCH(orders!$D509,products!$A$1:$A$49,0), MATCH(orders!J$1,  products!$A$1:$G$1,0))</f>
        <v>L</v>
      </c>
      <c r="K509" s="4">
        <f>INDEX(products!$A$1:$G$49,MATCH(orders!$D509,products!$A$1:$A$49,0), MATCH(orders!K$1,  products!$A$1:$G$1,0))</f>
        <v>2.5</v>
      </c>
      <c r="L509" s="7">
        <f>INDEX(products!$A$1:$G$49,MATCH(orders!$D509,products!$A$1:$A$49,0), MATCH(orders!L$1,  products!$A$1:$G$1,0))</f>
        <v>29.784999999999997</v>
      </c>
      <c r="M509" s="7">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 MATCH(orders!I$1,  products!$A$1:$G$1,0))</f>
        <v>Lib</v>
      </c>
      <c r="J510" t="str">
        <f>INDEX(products!$A$1:$G$49,MATCH(orders!$D510,products!$A$1:$A$49,0), MATCH(orders!J$1,  products!$A$1:$G$1,0))</f>
        <v>D</v>
      </c>
      <c r="K510" s="4">
        <f>INDEX(products!$A$1:$G$49,MATCH(orders!$D510,products!$A$1:$A$49,0), MATCH(orders!K$1,  products!$A$1:$G$1,0))</f>
        <v>0.5</v>
      </c>
      <c r="L510" s="7">
        <f>INDEX(products!$A$1:$G$49,MATCH(orders!$D510,products!$A$1:$A$49,0), MATCH(orders!L$1,  products!$A$1:$G$1,0))</f>
        <v>7.77</v>
      </c>
      <c r="M510" s="7">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 MATCH(orders!I$1,  products!$A$1:$G$1,0))</f>
        <v>Ara</v>
      </c>
      <c r="J511" t="str">
        <f>INDEX(products!$A$1:$G$49,MATCH(orders!$D511,products!$A$1:$A$49,0), MATCH(orders!J$1,  products!$A$1:$G$1,0))</f>
        <v>D</v>
      </c>
      <c r="K511" s="4">
        <f>INDEX(products!$A$1:$G$49,MATCH(orders!$D511,products!$A$1:$A$49,0), MATCH(orders!K$1,  products!$A$1:$G$1,0))</f>
        <v>1</v>
      </c>
      <c r="L511" s="7">
        <f>INDEX(products!$A$1:$G$49,MATCH(orders!$D511,products!$A$1:$A$49,0), MATCH(orders!L$1,  products!$A$1:$G$1,0))</f>
        <v>9.9499999999999993</v>
      </c>
      <c r="M511" s="7">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 MATCH(orders!I$1,  products!$A$1:$G$1,0))</f>
        <v>Rob</v>
      </c>
      <c r="J512" t="str">
        <f>INDEX(products!$A$1:$G$49,MATCH(orders!$D512,products!$A$1:$A$49,0), MATCH(orders!J$1,  products!$A$1:$G$1,0))</f>
        <v>L</v>
      </c>
      <c r="K512" s="4">
        <f>INDEX(products!$A$1:$G$49,MATCH(orders!$D512,products!$A$1:$A$49,0), MATCH(orders!K$1,  products!$A$1:$G$1,0))</f>
        <v>0.2</v>
      </c>
      <c r="L512" s="7">
        <f>INDEX(products!$A$1:$G$49,MATCH(orders!$D512,products!$A$1:$A$49,0), MATCH(orders!L$1,  products!$A$1:$G$1,0))</f>
        <v>3.5849999999999995</v>
      </c>
      <c r="M512" s="7">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 MATCH(orders!I$1,  products!$A$1:$G$1,0))</f>
        <v>Ara</v>
      </c>
      <c r="J513" t="str">
        <f>INDEX(products!$A$1:$G$49,MATCH(orders!$D513,products!$A$1:$A$49,0), MATCH(orders!J$1,  products!$A$1:$G$1,0))</f>
        <v>M</v>
      </c>
      <c r="K513" s="4">
        <f>INDEX(products!$A$1:$G$49,MATCH(orders!$D513,products!$A$1:$A$49,0), MATCH(orders!K$1,  products!$A$1:$G$1,0))</f>
        <v>0.2</v>
      </c>
      <c r="L513" s="7">
        <f>INDEX(products!$A$1:$G$49,MATCH(orders!$D513,products!$A$1:$A$49,0), MATCH(orders!L$1,  products!$A$1:$G$1,0))</f>
        <v>3.375</v>
      </c>
      <c r="M513" s="7">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 MATCH(orders!I$1,  products!$A$1:$G$1,0))</f>
        <v>Lib</v>
      </c>
      <c r="J514" t="str">
        <f>INDEX(products!$A$1:$G$49,MATCH(orders!$D514,products!$A$1:$A$49,0), MATCH(orders!J$1,  products!$A$1:$G$1,0))</f>
        <v>L</v>
      </c>
      <c r="K514" s="4">
        <f>INDEX(products!$A$1:$G$49,MATCH(orders!$D514,products!$A$1:$A$49,0), MATCH(orders!K$1,  products!$A$1:$G$1,0))</f>
        <v>1</v>
      </c>
      <c r="L514" s="7">
        <f>INDEX(products!$A$1:$G$49,MATCH(orders!$D514,products!$A$1:$A$49,0), MATCH(orders!L$1,  products!$A$1:$G$1,0))</f>
        <v>15.85</v>
      </c>
      <c r="M514" s="7">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 MATCH(orders!I$1,  products!$A$1:$G$1,0))</f>
        <v>Lib</v>
      </c>
      <c r="J515" t="str">
        <f>INDEX(products!$A$1:$G$49,MATCH(orders!$D515,products!$A$1:$A$49,0), MATCH(orders!J$1,  products!$A$1:$G$1,0))</f>
        <v>L</v>
      </c>
      <c r="K515" s="4">
        <f>INDEX(products!$A$1:$G$49,MATCH(orders!$D515,products!$A$1:$A$49,0), MATCH(orders!K$1,  products!$A$1:$G$1,0))</f>
        <v>1</v>
      </c>
      <c r="L515" s="7">
        <f>INDEX(products!$A$1:$G$49,MATCH(orders!$D515,products!$A$1:$A$49,0), MATCH(orders!L$1,  products!$A$1:$G$1,0))</f>
        <v>15.85</v>
      </c>
      <c r="M515" s="7">
        <f t="shared" ref="M515:M578" si="24">L515*E515</f>
        <v>79.25</v>
      </c>
      <c r="N515" t="str">
        <f t="shared" ref="N515:N578" si="25">IF(I515="Rob","Robusta", IF(I515="Exc","Excelsa", IF(I515="Ara", "Arabica", IF(I515="Lib", "Liberica", ""))))</f>
        <v>Liberica</v>
      </c>
      <c r="O515" t="str">
        <f t="shared" ref="O515:O578" si="26">IF(J515="M", "Medium", IF(J515="L", "Light",IF(J515="D","Dark","")))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 MATCH(orders!I$1,  products!$A$1:$G$1,0))</f>
        <v>Lib</v>
      </c>
      <c r="J516" t="str">
        <f>INDEX(products!$A$1:$G$49,MATCH(orders!$D516,products!$A$1:$A$49,0), MATCH(orders!J$1,  products!$A$1:$G$1,0))</f>
        <v>M</v>
      </c>
      <c r="K516" s="4">
        <f>INDEX(products!$A$1:$G$49,MATCH(orders!$D516,products!$A$1:$A$49,0), MATCH(orders!K$1,  products!$A$1:$G$1,0))</f>
        <v>0.2</v>
      </c>
      <c r="L516" s="7">
        <f>INDEX(products!$A$1:$G$49,MATCH(orders!$D516,products!$A$1:$A$49,0), MATCH(orders!L$1,  products!$A$1:$G$1,0))</f>
        <v>4.3650000000000002</v>
      </c>
      <c r="M516" s="7">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 MATCH(orders!I$1,  products!$A$1:$G$1,0))</f>
        <v>Rob</v>
      </c>
      <c r="J517" t="str">
        <f>INDEX(products!$A$1:$G$49,MATCH(orders!$D517,products!$A$1:$A$49,0), MATCH(orders!J$1,  products!$A$1:$G$1,0))</f>
        <v>L</v>
      </c>
      <c r="K517" s="4">
        <f>INDEX(products!$A$1:$G$49,MATCH(orders!$D517,products!$A$1:$A$49,0), MATCH(orders!K$1,  products!$A$1:$G$1,0))</f>
        <v>0.5</v>
      </c>
      <c r="L517" s="7">
        <f>INDEX(products!$A$1:$G$49,MATCH(orders!$D517,products!$A$1:$A$49,0), MATCH(orders!L$1,  products!$A$1:$G$1,0))</f>
        <v>7.169999999999999</v>
      </c>
      <c r="M517" s="7">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 MATCH(orders!I$1,  products!$A$1:$G$1,0))</f>
        <v>Rob</v>
      </c>
      <c r="J518" t="str">
        <f>INDEX(products!$A$1:$G$49,MATCH(orders!$D518,products!$A$1:$A$49,0), MATCH(orders!J$1,  products!$A$1:$G$1,0))</f>
        <v>D</v>
      </c>
      <c r="K518" s="4">
        <f>INDEX(products!$A$1:$G$49,MATCH(orders!$D518,products!$A$1:$A$49,0), MATCH(orders!K$1,  products!$A$1:$G$1,0))</f>
        <v>2.5</v>
      </c>
      <c r="L518" s="7">
        <f>INDEX(products!$A$1:$G$49,MATCH(orders!$D518,products!$A$1:$A$49,0), MATCH(orders!L$1,  products!$A$1:$G$1,0))</f>
        <v>20.584999999999997</v>
      </c>
      <c r="M518" s="7">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 MATCH(orders!I$1,  products!$A$1:$G$1,0))</f>
        <v>Lib</v>
      </c>
      <c r="J519" t="str">
        <f>INDEX(products!$A$1:$G$49,MATCH(orders!$D519,products!$A$1:$A$49,0), MATCH(orders!J$1,  products!$A$1:$G$1,0))</f>
        <v>D</v>
      </c>
      <c r="K519" s="4">
        <f>INDEX(products!$A$1:$G$49,MATCH(orders!$D519,products!$A$1:$A$49,0), MATCH(orders!K$1,  products!$A$1:$G$1,0))</f>
        <v>0.2</v>
      </c>
      <c r="L519" s="7">
        <f>INDEX(products!$A$1:$G$49,MATCH(orders!$D519,products!$A$1:$A$49,0), MATCH(orders!L$1,  products!$A$1:$G$1,0))</f>
        <v>3.8849999999999998</v>
      </c>
      <c r="M519" s="7">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 MATCH(orders!I$1,  products!$A$1:$G$1,0))</f>
        <v>Exc</v>
      </c>
      <c r="J520" t="str">
        <f>INDEX(products!$A$1:$G$49,MATCH(orders!$D520,products!$A$1:$A$49,0), MATCH(orders!J$1,  products!$A$1:$G$1,0))</f>
        <v>D</v>
      </c>
      <c r="K520" s="4">
        <f>INDEX(products!$A$1:$G$49,MATCH(orders!$D520,products!$A$1:$A$49,0), MATCH(orders!K$1,  products!$A$1:$G$1,0))</f>
        <v>2.5</v>
      </c>
      <c r="L520" s="7">
        <f>INDEX(products!$A$1:$G$49,MATCH(orders!$D520,products!$A$1:$A$49,0), MATCH(orders!L$1,  products!$A$1:$G$1,0))</f>
        <v>27.945</v>
      </c>
      <c r="M520" s="7">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 MATCH(orders!I$1,  products!$A$1:$G$1,0))</f>
        <v>Ara</v>
      </c>
      <c r="J521" t="str">
        <f>INDEX(products!$A$1:$G$49,MATCH(orders!$D521,products!$A$1:$A$49,0), MATCH(orders!J$1,  products!$A$1:$G$1,0))</f>
        <v>D</v>
      </c>
      <c r="K521" s="4">
        <f>INDEX(products!$A$1:$G$49,MATCH(orders!$D521,products!$A$1:$A$49,0), MATCH(orders!K$1,  products!$A$1:$G$1,0))</f>
        <v>0.5</v>
      </c>
      <c r="L521" s="7">
        <f>INDEX(products!$A$1:$G$49,MATCH(orders!$D521,products!$A$1:$A$49,0), MATCH(orders!L$1,  products!$A$1:$G$1,0))</f>
        <v>5.97</v>
      </c>
      <c r="M521" s="7">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 MATCH(orders!I$1,  products!$A$1:$G$1,0))</f>
        <v>Lib</v>
      </c>
      <c r="J522" t="str">
        <f>INDEX(products!$A$1:$G$49,MATCH(orders!$D522,products!$A$1:$A$49,0), MATCH(orders!J$1,  products!$A$1:$G$1,0))</f>
        <v>D</v>
      </c>
      <c r="K522" s="4">
        <f>INDEX(products!$A$1:$G$49,MATCH(orders!$D522,products!$A$1:$A$49,0), MATCH(orders!K$1,  products!$A$1:$G$1,0))</f>
        <v>0.2</v>
      </c>
      <c r="L522" s="7">
        <f>INDEX(products!$A$1:$G$49,MATCH(orders!$D522,products!$A$1:$A$49,0), MATCH(orders!L$1,  products!$A$1:$G$1,0))</f>
        <v>3.8849999999999998</v>
      </c>
      <c r="M522" s="7">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 MATCH(orders!I$1,  products!$A$1:$G$1,0))</f>
        <v>Rob</v>
      </c>
      <c r="J523" t="str">
        <f>INDEX(products!$A$1:$G$49,MATCH(orders!$D523,products!$A$1:$A$49,0), MATCH(orders!J$1,  products!$A$1:$G$1,0))</f>
        <v>M</v>
      </c>
      <c r="K523" s="4">
        <f>INDEX(products!$A$1:$G$49,MATCH(orders!$D523,products!$A$1:$A$49,0), MATCH(orders!K$1,  products!$A$1:$G$1,0))</f>
        <v>1</v>
      </c>
      <c r="L523" s="7">
        <f>INDEX(products!$A$1:$G$49,MATCH(orders!$D523,products!$A$1:$A$49,0), MATCH(orders!L$1,  products!$A$1:$G$1,0))</f>
        <v>9.9499999999999993</v>
      </c>
      <c r="M523" s="7">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 MATCH(orders!I$1,  products!$A$1:$G$1,0))</f>
        <v>Rob</v>
      </c>
      <c r="J524" t="str">
        <f>INDEX(products!$A$1:$G$49,MATCH(orders!$D524,products!$A$1:$A$49,0), MATCH(orders!J$1,  products!$A$1:$G$1,0))</f>
        <v>M</v>
      </c>
      <c r="K524" s="4">
        <f>INDEX(products!$A$1:$G$49,MATCH(orders!$D524,products!$A$1:$A$49,0), MATCH(orders!K$1,  products!$A$1:$G$1,0))</f>
        <v>0.5</v>
      </c>
      <c r="L524" s="7">
        <f>INDEX(products!$A$1:$G$49,MATCH(orders!$D524,products!$A$1:$A$49,0), MATCH(orders!L$1,  products!$A$1:$G$1,0))</f>
        <v>5.97</v>
      </c>
      <c r="M524" s="7">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 MATCH(orders!I$1,  products!$A$1:$G$1,0))</f>
        <v>Lib</v>
      </c>
      <c r="J525" t="str">
        <f>INDEX(products!$A$1:$G$49,MATCH(orders!$D525,products!$A$1:$A$49,0), MATCH(orders!J$1,  products!$A$1:$G$1,0))</f>
        <v>D</v>
      </c>
      <c r="K525" s="4">
        <f>INDEX(products!$A$1:$G$49,MATCH(orders!$D525,products!$A$1:$A$49,0), MATCH(orders!K$1,  products!$A$1:$G$1,0))</f>
        <v>2.5</v>
      </c>
      <c r="L525" s="7">
        <f>INDEX(products!$A$1:$G$49,MATCH(orders!$D525,products!$A$1:$A$49,0), MATCH(orders!L$1,  products!$A$1:$G$1,0))</f>
        <v>29.784999999999997</v>
      </c>
      <c r="M525" s="7">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 MATCH(orders!I$1,  products!$A$1:$G$1,0))</f>
        <v>Lib</v>
      </c>
      <c r="J526" t="str">
        <f>INDEX(products!$A$1:$G$49,MATCH(orders!$D526,products!$A$1:$A$49,0), MATCH(orders!J$1,  products!$A$1:$G$1,0))</f>
        <v>L</v>
      </c>
      <c r="K526" s="4">
        <f>INDEX(products!$A$1:$G$49,MATCH(orders!$D526,products!$A$1:$A$49,0), MATCH(orders!K$1,  products!$A$1:$G$1,0))</f>
        <v>2.5</v>
      </c>
      <c r="L526" s="7">
        <f>INDEX(products!$A$1:$G$49,MATCH(orders!$D526,products!$A$1:$A$49,0), MATCH(orders!L$1,  products!$A$1:$G$1,0))</f>
        <v>36.454999999999998</v>
      </c>
      <c r="M526" s="7">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 MATCH(orders!I$1,  products!$A$1:$G$1,0))</f>
        <v>Rob</v>
      </c>
      <c r="J527" t="str">
        <f>INDEX(products!$A$1:$G$49,MATCH(orders!$D527,products!$A$1:$A$49,0), MATCH(orders!J$1,  products!$A$1:$G$1,0))</f>
        <v>D</v>
      </c>
      <c r="K527" s="4">
        <f>INDEX(products!$A$1:$G$49,MATCH(orders!$D527,products!$A$1:$A$49,0), MATCH(orders!K$1,  products!$A$1:$G$1,0))</f>
        <v>0.2</v>
      </c>
      <c r="L527" s="7">
        <f>INDEX(products!$A$1:$G$49,MATCH(orders!$D527,products!$A$1:$A$49,0), MATCH(orders!L$1,  products!$A$1:$G$1,0))</f>
        <v>2.6849999999999996</v>
      </c>
      <c r="M527" s="7">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 MATCH(orders!I$1,  products!$A$1:$G$1,0))</f>
        <v>Exc</v>
      </c>
      <c r="J528" t="str">
        <f>INDEX(products!$A$1:$G$49,MATCH(orders!$D528,products!$A$1:$A$49,0), MATCH(orders!J$1,  products!$A$1:$G$1,0))</f>
        <v>M</v>
      </c>
      <c r="K528" s="4">
        <f>INDEX(products!$A$1:$G$49,MATCH(orders!$D528,products!$A$1:$A$49,0), MATCH(orders!K$1,  products!$A$1:$G$1,0))</f>
        <v>2.5</v>
      </c>
      <c r="L528" s="7">
        <f>INDEX(products!$A$1:$G$49,MATCH(orders!$D528,products!$A$1:$A$49,0), MATCH(orders!L$1,  products!$A$1:$G$1,0))</f>
        <v>31.624999999999996</v>
      </c>
      <c r="M528" s="7">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 MATCH(orders!I$1,  products!$A$1:$G$1,0))</f>
        <v>Exc</v>
      </c>
      <c r="J529" t="str">
        <f>INDEX(products!$A$1:$G$49,MATCH(orders!$D529,products!$A$1:$A$49,0), MATCH(orders!J$1,  products!$A$1:$G$1,0))</f>
        <v>M</v>
      </c>
      <c r="K529" s="4">
        <f>INDEX(products!$A$1:$G$49,MATCH(orders!$D529,products!$A$1:$A$49,0), MATCH(orders!K$1,  products!$A$1:$G$1,0))</f>
        <v>0.5</v>
      </c>
      <c r="L529" s="7">
        <f>INDEX(products!$A$1:$G$49,MATCH(orders!$D529,products!$A$1:$A$49,0), MATCH(orders!L$1,  products!$A$1:$G$1,0))</f>
        <v>8.25</v>
      </c>
      <c r="M529" s="7">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 MATCH(orders!I$1,  products!$A$1:$G$1,0))</f>
        <v>Exc</v>
      </c>
      <c r="J530" t="str">
        <f>INDEX(products!$A$1:$G$49,MATCH(orders!$D530,products!$A$1:$A$49,0), MATCH(orders!J$1,  products!$A$1:$G$1,0))</f>
        <v>L</v>
      </c>
      <c r="K530" s="4">
        <f>INDEX(products!$A$1:$G$49,MATCH(orders!$D530,products!$A$1:$A$49,0), MATCH(orders!K$1,  products!$A$1:$G$1,0))</f>
        <v>0.5</v>
      </c>
      <c r="L530" s="7">
        <f>INDEX(products!$A$1:$G$49,MATCH(orders!$D530,products!$A$1:$A$49,0), MATCH(orders!L$1,  products!$A$1:$G$1,0))</f>
        <v>8.91</v>
      </c>
      <c r="M530" s="7">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 MATCH(orders!I$1,  products!$A$1:$G$1,0))</f>
        <v>Rob</v>
      </c>
      <c r="J531" t="str">
        <f>INDEX(products!$A$1:$G$49,MATCH(orders!$D531,products!$A$1:$A$49,0), MATCH(orders!J$1,  products!$A$1:$G$1,0))</f>
        <v>M</v>
      </c>
      <c r="K531" s="4">
        <f>INDEX(products!$A$1:$G$49,MATCH(orders!$D531,products!$A$1:$A$49,0), MATCH(orders!K$1,  products!$A$1:$G$1,0))</f>
        <v>1</v>
      </c>
      <c r="L531" s="7">
        <f>INDEX(products!$A$1:$G$49,MATCH(orders!$D531,products!$A$1:$A$49,0), MATCH(orders!L$1,  products!$A$1:$G$1,0))</f>
        <v>9.9499999999999993</v>
      </c>
      <c r="M531" s="7">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 MATCH(orders!I$1,  products!$A$1:$G$1,0))</f>
        <v>Rob</v>
      </c>
      <c r="J532" t="str">
        <f>INDEX(products!$A$1:$G$49,MATCH(orders!$D532,products!$A$1:$A$49,0), MATCH(orders!J$1,  products!$A$1:$G$1,0))</f>
        <v>M</v>
      </c>
      <c r="K532" s="4">
        <f>INDEX(products!$A$1:$G$49,MATCH(orders!$D532,products!$A$1:$A$49,0), MATCH(orders!K$1,  products!$A$1:$G$1,0))</f>
        <v>1</v>
      </c>
      <c r="L532" s="7">
        <f>INDEX(products!$A$1:$G$49,MATCH(orders!$D532,products!$A$1:$A$49,0), MATCH(orders!L$1,  products!$A$1:$G$1,0))</f>
        <v>9.9499999999999993</v>
      </c>
      <c r="M532" s="7">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 MATCH(orders!I$1,  products!$A$1:$G$1,0))</f>
        <v>Rob</v>
      </c>
      <c r="J533" t="str">
        <f>INDEX(products!$A$1:$G$49,MATCH(orders!$D533,products!$A$1:$A$49,0), MATCH(orders!J$1,  products!$A$1:$G$1,0))</f>
        <v>D</v>
      </c>
      <c r="K533" s="4">
        <f>INDEX(products!$A$1:$G$49,MATCH(orders!$D533,products!$A$1:$A$49,0), MATCH(orders!K$1,  products!$A$1:$G$1,0))</f>
        <v>1</v>
      </c>
      <c r="L533" s="7">
        <f>INDEX(products!$A$1:$G$49,MATCH(orders!$D533,products!$A$1:$A$49,0), MATCH(orders!L$1,  products!$A$1:$G$1,0))</f>
        <v>8.9499999999999993</v>
      </c>
      <c r="M533" s="7">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 MATCH(orders!I$1,  products!$A$1:$G$1,0))</f>
        <v>Exc</v>
      </c>
      <c r="J534" t="str">
        <f>INDEX(products!$A$1:$G$49,MATCH(orders!$D534,products!$A$1:$A$49,0), MATCH(orders!J$1,  products!$A$1:$G$1,0))</f>
        <v>M</v>
      </c>
      <c r="K534" s="4">
        <f>INDEX(products!$A$1:$G$49,MATCH(orders!$D534,products!$A$1:$A$49,0), MATCH(orders!K$1,  products!$A$1:$G$1,0))</f>
        <v>0.5</v>
      </c>
      <c r="L534" s="7">
        <f>INDEX(products!$A$1:$G$49,MATCH(orders!$D534,products!$A$1:$A$49,0), MATCH(orders!L$1,  products!$A$1:$G$1,0))</f>
        <v>8.25</v>
      </c>
      <c r="M534" s="7">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 MATCH(orders!I$1,  products!$A$1:$G$1,0))</f>
        <v>Rob</v>
      </c>
      <c r="J535" t="str">
        <f>INDEX(products!$A$1:$G$49,MATCH(orders!$D535,products!$A$1:$A$49,0), MATCH(orders!J$1,  products!$A$1:$G$1,0))</f>
        <v>D</v>
      </c>
      <c r="K535" s="4">
        <f>INDEX(products!$A$1:$G$49,MATCH(orders!$D535,products!$A$1:$A$49,0), MATCH(orders!K$1,  products!$A$1:$G$1,0))</f>
        <v>0.5</v>
      </c>
      <c r="L535" s="7">
        <f>INDEX(products!$A$1:$G$49,MATCH(orders!$D535,products!$A$1:$A$49,0), MATCH(orders!L$1,  products!$A$1:$G$1,0))</f>
        <v>5.3699999999999992</v>
      </c>
      <c r="M535" s="7">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 MATCH(orders!I$1,  products!$A$1:$G$1,0))</f>
        <v>Rob</v>
      </c>
      <c r="J536" t="str">
        <f>INDEX(products!$A$1:$G$49,MATCH(orders!$D536,products!$A$1:$A$49,0), MATCH(orders!J$1,  products!$A$1:$G$1,0))</f>
        <v>M</v>
      </c>
      <c r="K536" s="4">
        <f>INDEX(products!$A$1:$G$49,MATCH(orders!$D536,products!$A$1:$A$49,0), MATCH(orders!K$1,  products!$A$1:$G$1,0))</f>
        <v>2.5</v>
      </c>
      <c r="L536" s="7">
        <f>INDEX(products!$A$1:$G$49,MATCH(orders!$D536,products!$A$1:$A$49,0), MATCH(orders!L$1,  products!$A$1:$G$1,0))</f>
        <v>22.884999999999998</v>
      </c>
      <c r="M536" s="7">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 MATCH(orders!I$1,  products!$A$1:$G$1,0))</f>
        <v>Lib</v>
      </c>
      <c r="J537" t="str">
        <f>INDEX(products!$A$1:$G$49,MATCH(orders!$D537,products!$A$1:$A$49,0), MATCH(orders!J$1,  products!$A$1:$G$1,0))</f>
        <v>L</v>
      </c>
      <c r="K537" s="4">
        <f>INDEX(products!$A$1:$G$49,MATCH(orders!$D537,products!$A$1:$A$49,0), MATCH(orders!K$1,  products!$A$1:$G$1,0))</f>
        <v>0.2</v>
      </c>
      <c r="L537" s="7">
        <f>INDEX(products!$A$1:$G$49,MATCH(orders!$D537,products!$A$1:$A$49,0), MATCH(orders!L$1,  products!$A$1:$G$1,0))</f>
        <v>4.7549999999999999</v>
      </c>
      <c r="M537" s="7">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 MATCH(orders!I$1,  products!$A$1:$G$1,0))</f>
        <v>Rob</v>
      </c>
      <c r="J538" t="str">
        <f>INDEX(products!$A$1:$G$49,MATCH(orders!$D538,products!$A$1:$A$49,0), MATCH(orders!J$1,  products!$A$1:$G$1,0))</f>
        <v>D</v>
      </c>
      <c r="K538" s="4">
        <f>INDEX(products!$A$1:$G$49,MATCH(orders!$D538,products!$A$1:$A$49,0), MATCH(orders!K$1,  products!$A$1:$G$1,0))</f>
        <v>0.2</v>
      </c>
      <c r="L538" s="7">
        <f>INDEX(products!$A$1:$G$49,MATCH(orders!$D538,products!$A$1:$A$49,0), MATCH(orders!L$1,  products!$A$1:$G$1,0))</f>
        <v>2.6849999999999996</v>
      </c>
      <c r="M538" s="7">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 MATCH(orders!I$1,  products!$A$1:$G$1,0))</f>
        <v>Exc</v>
      </c>
      <c r="J539" t="str">
        <f>INDEX(products!$A$1:$G$49,MATCH(orders!$D539,products!$A$1:$A$49,0), MATCH(orders!J$1,  products!$A$1:$G$1,0))</f>
        <v>D</v>
      </c>
      <c r="K539" s="4">
        <f>INDEX(products!$A$1:$G$49,MATCH(orders!$D539,products!$A$1:$A$49,0), MATCH(orders!K$1,  products!$A$1:$G$1,0))</f>
        <v>2.5</v>
      </c>
      <c r="L539" s="7">
        <f>INDEX(products!$A$1:$G$49,MATCH(orders!$D539,products!$A$1:$A$49,0), MATCH(orders!L$1,  products!$A$1:$G$1,0))</f>
        <v>27.945</v>
      </c>
      <c r="M539" s="7">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 MATCH(orders!I$1,  products!$A$1:$G$1,0))</f>
        <v>Rob</v>
      </c>
      <c r="J540" t="str">
        <f>INDEX(products!$A$1:$G$49,MATCH(orders!$D540,products!$A$1:$A$49,0), MATCH(orders!J$1,  products!$A$1:$G$1,0))</f>
        <v>D</v>
      </c>
      <c r="K540" s="4">
        <f>INDEX(products!$A$1:$G$49,MATCH(orders!$D540,products!$A$1:$A$49,0), MATCH(orders!K$1,  products!$A$1:$G$1,0))</f>
        <v>0.2</v>
      </c>
      <c r="L540" s="7">
        <f>INDEX(products!$A$1:$G$49,MATCH(orders!$D540,products!$A$1:$A$49,0), MATCH(orders!L$1,  products!$A$1:$G$1,0))</f>
        <v>2.6849999999999996</v>
      </c>
      <c r="M540" s="7">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 MATCH(orders!I$1,  products!$A$1:$G$1,0))</f>
        <v>Rob</v>
      </c>
      <c r="J541" t="str">
        <f>INDEX(products!$A$1:$G$49,MATCH(orders!$D541,products!$A$1:$A$49,0), MATCH(orders!J$1,  products!$A$1:$G$1,0))</f>
        <v>D</v>
      </c>
      <c r="K541" s="4">
        <f>INDEX(products!$A$1:$G$49,MATCH(orders!$D541,products!$A$1:$A$49,0), MATCH(orders!K$1,  products!$A$1:$G$1,0))</f>
        <v>0.5</v>
      </c>
      <c r="L541" s="7">
        <f>INDEX(products!$A$1:$G$49,MATCH(orders!$D541,products!$A$1:$A$49,0), MATCH(orders!L$1,  products!$A$1:$G$1,0))</f>
        <v>5.3699999999999992</v>
      </c>
      <c r="M541" s="7">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 MATCH(orders!I$1,  products!$A$1:$G$1,0))</f>
        <v>Lib</v>
      </c>
      <c r="J542" t="str">
        <f>INDEX(products!$A$1:$G$49,MATCH(orders!$D542,products!$A$1:$A$49,0), MATCH(orders!J$1,  products!$A$1:$G$1,0))</f>
        <v>L</v>
      </c>
      <c r="K542" s="4">
        <f>INDEX(products!$A$1:$G$49,MATCH(orders!$D542,products!$A$1:$A$49,0), MATCH(orders!K$1,  products!$A$1:$G$1,0))</f>
        <v>1</v>
      </c>
      <c r="L542" s="7">
        <f>INDEX(products!$A$1:$G$49,MATCH(orders!$D542,products!$A$1:$A$49,0), MATCH(orders!L$1,  products!$A$1:$G$1,0))</f>
        <v>15.85</v>
      </c>
      <c r="M542" s="7">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 MATCH(orders!I$1,  products!$A$1:$G$1,0))</f>
        <v>Ara</v>
      </c>
      <c r="J543" t="str">
        <f>INDEX(products!$A$1:$G$49,MATCH(orders!$D543,products!$A$1:$A$49,0), MATCH(orders!J$1,  products!$A$1:$G$1,0))</f>
        <v>D</v>
      </c>
      <c r="K543" s="4">
        <f>INDEX(products!$A$1:$G$49,MATCH(orders!$D543,products!$A$1:$A$49,0), MATCH(orders!K$1,  products!$A$1:$G$1,0))</f>
        <v>2.5</v>
      </c>
      <c r="L543" s="7">
        <f>INDEX(products!$A$1:$G$49,MATCH(orders!$D543,products!$A$1:$A$49,0), MATCH(orders!L$1,  products!$A$1:$G$1,0))</f>
        <v>22.884999999999998</v>
      </c>
      <c r="M543" s="7">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 MATCH(orders!I$1,  products!$A$1:$G$1,0))</f>
        <v>Ara</v>
      </c>
      <c r="J544" t="str">
        <f>INDEX(products!$A$1:$G$49,MATCH(orders!$D544,products!$A$1:$A$49,0), MATCH(orders!J$1,  products!$A$1:$G$1,0))</f>
        <v>M</v>
      </c>
      <c r="K544" s="4">
        <f>INDEX(products!$A$1:$G$49,MATCH(orders!$D544,products!$A$1:$A$49,0), MATCH(orders!K$1,  products!$A$1:$G$1,0))</f>
        <v>2.5</v>
      </c>
      <c r="L544" s="7">
        <f>INDEX(products!$A$1:$G$49,MATCH(orders!$D544,products!$A$1:$A$49,0), MATCH(orders!L$1,  products!$A$1:$G$1,0))</f>
        <v>25.874999999999996</v>
      </c>
      <c r="M544" s="7">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 MATCH(orders!I$1,  products!$A$1:$G$1,0))</f>
        <v>Rob</v>
      </c>
      <c r="J545" t="str">
        <f>INDEX(products!$A$1:$G$49,MATCH(orders!$D545,products!$A$1:$A$49,0), MATCH(orders!J$1,  products!$A$1:$G$1,0))</f>
        <v>L</v>
      </c>
      <c r="K545" s="4">
        <f>INDEX(products!$A$1:$G$49,MATCH(orders!$D545,products!$A$1:$A$49,0), MATCH(orders!K$1,  products!$A$1:$G$1,0))</f>
        <v>2.5</v>
      </c>
      <c r="L545" s="7">
        <f>INDEX(products!$A$1:$G$49,MATCH(orders!$D545,products!$A$1:$A$49,0), MATCH(orders!L$1,  products!$A$1:$G$1,0))</f>
        <v>27.484999999999996</v>
      </c>
      <c r="M545" s="7">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 MATCH(orders!I$1,  products!$A$1:$G$1,0))</f>
        <v>Ara</v>
      </c>
      <c r="J546" t="str">
        <f>INDEX(products!$A$1:$G$49,MATCH(orders!$D546,products!$A$1:$A$49,0), MATCH(orders!J$1,  products!$A$1:$G$1,0))</f>
        <v>L</v>
      </c>
      <c r="K546" s="4">
        <f>INDEX(products!$A$1:$G$49,MATCH(orders!$D546,products!$A$1:$A$49,0), MATCH(orders!K$1,  products!$A$1:$G$1,0))</f>
        <v>0.5</v>
      </c>
      <c r="L546" s="7">
        <f>INDEX(products!$A$1:$G$49,MATCH(orders!$D546,products!$A$1:$A$49,0), MATCH(orders!L$1,  products!$A$1:$G$1,0))</f>
        <v>7.77</v>
      </c>
      <c r="M546" s="7">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 MATCH(orders!I$1,  products!$A$1:$G$1,0))</f>
        <v>Lib</v>
      </c>
      <c r="J547" t="str">
        <f>INDEX(products!$A$1:$G$49,MATCH(orders!$D547,products!$A$1:$A$49,0), MATCH(orders!J$1,  products!$A$1:$G$1,0))</f>
        <v>D</v>
      </c>
      <c r="K547" s="4">
        <f>INDEX(products!$A$1:$G$49,MATCH(orders!$D547,products!$A$1:$A$49,0), MATCH(orders!K$1,  products!$A$1:$G$1,0))</f>
        <v>0.2</v>
      </c>
      <c r="L547" s="7">
        <f>INDEX(products!$A$1:$G$49,MATCH(orders!$D547,products!$A$1:$A$49,0), MATCH(orders!L$1,  products!$A$1:$G$1,0))</f>
        <v>3.8849999999999998</v>
      </c>
      <c r="M547" s="7">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 MATCH(orders!I$1,  products!$A$1:$G$1,0))</f>
        <v>Exc</v>
      </c>
      <c r="J548" t="str">
        <f>INDEX(products!$A$1:$G$49,MATCH(orders!$D548,products!$A$1:$A$49,0), MATCH(orders!J$1,  products!$A$1:$G$1,0))</f>
        <v>D</v>
      </c>
      <c r="K548" s="4">
        <f>INDEX(products!$A$1:$G$49,MATCH(orders!$D548,products!$A$1:$A$49,0), MATCH(orders!K$1,  products!$A$1:$G$1,0))</f>
        <v>2.5</v>
      </c>
      <c r="L548" s="7">
        <f>INDEX(products!$A$1:$G$49,MATCH(orders!$D548,products!$A$1:$A$49,0), MATCH(orders!L$1,  products!$A$1:$G$1,0))</f>
        <v>27.945</v>
      </c>
      <c r="M548" s="7">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 MATCH(orders!I$1,  products!$A$1:$G$1,0))</f>
        <v>Rob</v>
      </c>
      <c r="J549" t="str">
        <f>INDEX(products!$A$1:$G$49,MATCH(orders!$D549,products!$A$1:$A$49,0), MATCH(orders!J$1,  products!$A$1:$G$1,0))</f>
        <v>L</v>
      </c>
      <c r="K549" s="4">
        <f>INDEX(products!$A$1:$G$49,MATCH(orders!$D549,products!$A$1:$A$49,0), MATCH(orders!K$1,  products!$A$1:$G$1,0))</f>
        <v>0.2</v>
      </c>
      <c r="L549" s="7">
        <f>INDEX(products!$A$1:$G$49,MATCH(orders!$D549,products!$A$1:$A$49,0), MATCH(orders!L$1,  products!$A$1:$G$1,0))</f>
        <v>3.5849999999999995</v>
      </c>
      <c r="M549" s="7">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 MATCH(orders!I$1,  products!$A$1:$G$1,0))</f>
        <v>Exc</v>
      </c>
      <c r="J550" t="str">
        <f>INDEX(products!$A$1:$G$49,MATCH(orders!$D550,products!$A$1:$A$49,0), MATCH(orders!J$1,  products!$A$1:$G$1,0))</f>
        <v>L</v>
      </c>
      <c r="K550" s="4">
        <f>INDEX(products!$A$1:$G$49,MATCH(orders!$D550,products!$A$1:$A$49,0), MATCH(orders!K$1,  products!$A$1:$G$1,0))</f>
        <v>0.2</v>
      </c>
      <c r="L550" s="7">
        <f>INDEX(products!$A$1:$G$49,MATCH(orders!$D550,products!$A$1:$A$49,0), MATCH(orders!L$1,  products!$A$1:$G$1,0))</f>
        <v>4.4550000000000001</v>
      </c>
      <c r="M550" s="7">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 MATCH(orders!I$1,  products!$A$1:$G$1,0))</f>
        <v>Exc</v>
      </c>
      <c r="J551" t="str">
        <f>INDEX(products!$A$1:$G$49,MATCH(orders!$D551,products!$A$1:$A$49,0), MATCH(orders!J$1,  products!$A$1:$G$1,0))</f>
        <v>L</v>
      </c>
      <c r="K551" s="4">
        <f>INDEX(products!$A$1:$G$49,MATCH(orders!$D551,products!$A$1:$A$49,0), MATCH(orders!K$1,  products!$A$1:$G$1,0))</f>
        <v>0.2</v>
      </c>
      <c r="L551" s="7">
        <f>INDEX(products!$A$1:$G$49,MATCH(orders!$D551,products!$A$1:$A$49,0), MATCH(orders!L$1,  products!$A$1:$G$1,0))</f>
        <v>4.4550000000000001</v>
      </c>
      <c r="M551" s="7">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 MATCH(orders!I$1,  products!$A$1:$G$1,0))</f>
        <v>Lib</v>
      </c>
      <c r="J552" t="str">
        <f>INDEX(products!$A$1:$G$49,MATCH(orders!$D552,products!$A$1:$A$49,0), MATCH(orders!J$1,  products!$A$1:$G$1,0))</f>
        <v>D</v>
      </c>
      <c r="K552" s="4">
        <f>INDEX(products!$A$1:$G$49,MATCH(orders!$D552,products!$A$1:$A$49,0), MATCH(orders!K$1,  products!$A$1:$G$1,0))</f>
        <v>0.2</v>
      </c>
      <c r="L552" s="7">
        <f>INDEX(products!$A$1:$G$49,MATCH(orders!$D552,products!$A$1:$A$49,0), MATCH(orders!L$1,  products!$A$1:$G$1,0))</f>
        <v>3.8849999999999998</v>
      </c>
      <c r="M552" s="7">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 MATCH(orders!I$1,  products!$A$1:$G$1,0))</f>
        <v>Exc</v>
      </c>
      <c r="J553" t="str">
        <f>INDEX(products!$A$1:$G$49,MATCH(orders!$D553,products!$A$1:$A$49,0), MATCH(orders!J$1,  products!$A$1:$G$1,0))</f>
        <v>D</v>
      </c>
      <c r="K553" s="4">
        <f>INDEX(products!$A$1:$G$49,MATCH(orders!$D553,products!$A$1:$A$49,0), MATCH(orders!K$1,  products!$A$1:$G$1,0))</f>
        <v>0.2</v>
      </c>
      <c r="L553" s="7">
        <f>INDEX(products!$A$1:$G$49,MATCH(orders!$D553,products!$A$1:$A$49,0), MATCH(orders!L$1,  products!$A$1:$G$1,0))</f>
        <v>3.645</v>
      </c>
      <c r="M553" s="7">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 MATCH(orders!I$1,  products!$A$1:$G$1,0))</f>
        <v>Exc</v>
      </c>
      <c r="J554" t="str">
        <f>INDEX(products!$A$1:$G$49,MATCH(orders!$D554,products!$A$1:$A$49,0), MATCH(orders!J$1,  products!$A$1:$G$1,0))</f>
        <v>L</v>
      </c>
      <c r="K554" s="4">
        <f>INDEX(products!$A$1:$G$49,MATCH(orders!$D554,products!$A$1:$A$49,0), MATCH(orders!K$1,  products!$A$1:$G$1,0))</f>
        <v>0.2</v>
      </c>
      <c r="L554" s="7">
        <f>INDEX(products!$A$1:$G$49,MATCH(orders!$D554,products!$A$1:$A$49,0), MATCH(orders!L$1,  products!$A$1:$G$1,0))</f>
        <v>4.4550000000000001</v>
      </c>
      <c r="M554" s="7">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 MATCH(orders!I$1,  products!$A$1:$G$1,0))</f>
        <v>Exc</v>
      </c>
      <c r="J555" t="str">
        <f>INDEX(products!$A$1:$G$49,MATCH(orders!$D555,products!$A$1:$A$49,0), MATCH(orders!J$1,  products!$A$1:$G$1,0))</f>
        <v>M</v>
      </c>
      <c r="K555" s="4">
        <f>INDEX(products!$A$1:$G$49,MATCH(orders!$D555,products!$A$1:$A$49,0), MATCH(orders!K$1,  products!$A$1:$G$1,0))</f>
        <v>1</v>
      </c>
      <c r="L555" s="7">
        <f>INDEX(products!$A$1:$G$49,MATCH(orders!$D555,products!$A$1:$A$49,0), MATCH(orders!L$1,  products!$A$1:$G$1,0))</f>
        <v>13.75</v>
      </c>
      <c r="M555" s="7">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 MATCH(orders!I$1,  products!$A$1:$G$1,0))</f>
        <v>Rob</v>
      </c>
      <c r="J556" t="str">
        <f>INDEX(products!$A$1:$G$49,MATCH(orders!$D556,products!$A$1:$A$49,0), MATCH(orders!J$1,  products!$A$1:$G$1,0))</f>
        <v>L</v>
      </c>
      <c r="K556" s="4">
        <f>INDEX(products!$A$1:$G$49,MATCH(orders!$D556,products!$A$1:$A$49,0), MATCH(orders!K$1,  products!$A$1:$G$1,0))</f>
        <v>2.5</v>
      </c>
      <c r="L556" s="7">
        <f>INDEX(products!$A$1:$G$49,MATCH(orders!$D556,products!$A$1:$A$49,0), MATCH(orders!L$1,  products!$A$1:$G$1,0))</f>
        <v>27.484999999999996</v>
      </c>
      <c r="M556" s="7">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 MATCH(orders!I$1,  products!$A$1:$G$1,0))</f>
        <v>Exc</v>
      </c>
      <c r="J557" t="str">
        <f>INDEX(products!$A$1:$G$49,MATCH(orders!$D557,products!$A$1:$A$49,0), MATCH(orders!J$1,  products!$A$1:$G$1,0))</f>
        <v>M</v>
      </c>
      <c r="K557" s="4">
        <f>INDEX(products!$A$1:$G$49,MATCH(orders!$D557,products!$A$1:$A$49,0), MATCH(orders!K$1,  products!$A$1:$G$1,0))</f>
        <v>1</v>
      </c>
      <c r="L557" s="7">
        <f>INDEX(products!$A$1:$G$49,MATCH(orders!$D557,products!$A$1:$A$49,0), MATCH(orders!L$1,  products!$A$1:$G$1,0))</f>
        <v>13.75</v>
      </c>
      <c r="M557" s="7">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 MATCH(orders!I$1,  products!$A$1:$G$1,0))</f>
        <v>Lib</v>
      </c>
      <c r="J558" t="str">
        <f>INDEX(products!$A$1:$G$49,MATCH(orders!$D558,products!$A$1:$A$49,0), MATCH(orders!J$1,  products!$A$1:$G$1,0))</f>
        <v>M</v>
      </c>
      <c r="K558" s="4">
        <f>INDEX(products!$A$1:$G$49,MATCH(orders!$D558,products!$A$1:$A$49,0), MATCH(orders!K$1,  products!$A$1:$G$1,0))</f>
        <v>0.2</v>
      </c>
      <c r="L558" s="7">
        <f>INDEX(products!$A$1:$G$49,MATCH(orders!$D558,products!$A$1:$A$49,0), MATCH(orders!L$1,  products!$A$1:$G$1,0))</f>
        <v>4.3650000000000002</v>
      </c>
      <c r="M558" s="7">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 MATCH(orders!I$1,  products!$A$1:$G$1,0))</f>
        <v>Exc</v>
      </c>
      <c r="J559" t="str">
        <f>INDEX(products!$A$1:$G$49,MATCH(orders!$D559,products!$A$1:$A$49,0), MATCH(orders!J$1,  products!$A$1:$G$1,0))</f>
        <v>L</v>
      </c>
      <c r="K559" s="4">
        <f>INDEX(products!$A$1:$G$49,MATCH(orders!$D559,products!$A$1:$A$49,0), MATCH(orders!K$1,  products!$A$1:$G$1,0))</f>
        <v>1</v>
      </c>
      <c r="L559" s="7">
        <f>INDEX(products!$A$1:$G$49,MATCH(orders!$D559,products!$A$1:$A$49,0), MATCH(orders!L$1,  products!$A$1:$G$1,0))</f>
        <v>14.85</v>
      </c>
      <c r="M559" s="7">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 MATCH(orders!I$1,  products!$A$1:$G$1,0))</f>
        <v>Lib</v>
      </c>
      <c r="J560" t="str">
        <f>INDEX(products!$A$1:$G$49,MATCH(orders!$D560,products!$A$1:$A$49,0), MATCH(orders!J$1,  products!$A$1:$G$1,0))</f>
        <v>D</v>
      </c>
      <c r="K560" s="4">
        <f>INDEX(products!$A$1:$G$49,MATCH(orders!$D560,products!$A$1:$A$49,0), MATCH(orders!K$1,  products!$A$1:$G$1,0))</f>
        <v>0.2</v>
      </c>
      <c r="L560" s="7">
        <f>INDEX(products!$A$1:$G$49,MATCH(orders!$D560,products!$A$1:$A$49,0), MATCH(orders!L$1,  products!$A$1:$G$1,0))</f>
        <v>3.8849999999999998</v>
      </c>
      <c r="M560" s="7">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 MATCH(orders!I$1,  products!$A$1:$G$1,0))</f>
        <v>Ara</v>
      </c>
      <c r="J561" t="str">
        <f>INDEX(products!$A$1:$G$49,MATCH(orders!$D561,products!$A$1:$A$49,0), MATCH(orders!J$1,  products!$A$1:$G$1,0))</f>
        <v>L</v>
      </c>
      <c r="K561" s="4">
        <f>INDEX(products!$A$1:$G$49,MATCH(orders!$D561,products!$A$1:$A$49,0), MATCH(orders!K$1,  products!$A$1:$G$1,0))</f>
        <v>1</v>
      </c>
      <c r="L561" s="7">
        <f>INDEX(products!$A$1:$G$49,MATCH(orders!$D561,products!$A$1:$A$49,0), MATCH(orders!L$1,  products!$A$1:$G$1,0))</f>
        <v>12.95</v>
      </c>
      <c r="M561" s="7">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 MATCH(orders!I$1,  products!$A$1:$G$1,0))</f>
        <v>Exc</v>
      </c>
      <c r="J562" t="str">
        <f>INDEX(products!$A$1:$G$49,MATCH(orders!$D562,products!$A$1:$A$49,0), MATCH(orders!J$1,  products!$A$1:$G$1,0))</f>
        <v>M</v>
      </c>
      <c r="K562" s="4">
        <f>INDEX(products!$A$1:$G$49,MATCH(orders!$D562,products!$A$1:$A$49,0), MATCH(orders!K$1,  products!$A$1:$G$1,0))</f>
        <v>2.5</v>
      </c>
      <c r="L562" s="7">
        <f>INDEX(products!$A$1:$G$49,MATCH(orders!$D562,products!$A$1:$A$49,0), MATCH(orders!L$1,  products!$A$1:$G$1,0))</f>
        <v>31.624999999999996</v>
      </c>
      <c r="M562" s="7">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 MATCH(orders!I$1,  products!$A$1:$G$1,0))</f>
        <v>Ara</v>
      </c>
      <c r="J563" t="str">
        <f>INDEX(products!$A$1:$G$49,MATCH(orders!$D563,products!$A$1:$A$49,0), MATCH(orders!J$1,  products!$A$1:$G$1,0))</f>
        <v>D</v>
      </c>
      <c r="K563" s="4">
        <f>INDEX(products!$A$1:$G$49,MATCH(orders!$D563,products!$A$1:$A$49,0), MATCH(orders!K$1,  products!$A$1:$G$1,0))</f>
        <v>0.2</v>
      </c>
      <c r="L563" s="7">
        <f>INDEX(products!$A$1:$G$49,MATCH(orders!$D563,products!$A$1:$A$49,0), MATCH(orders!L$1,  products!$A$1:$G$1,0))</f>
        <v>2.9849999999999999</v>
      </c>
      <c r="M563" s="7">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 MATCH(orders!I$1,  products!$A$1:$G$1,0))</f>
        <v>Lib</v>
      </c>
      <c r="J564" t="str">
        <f>INDEX(products!$A$1:$G$49,MATCH(orders!$D564,products!$A$1:$A$49,0), MATCH(orders!J$1,  products!$A$1:$G$1,0))</f>
        <v>L</v>
      </c>
      <c r="K564" s="4">
        <f>INDEX(products!$A$1:$G$49,MATCH(orders!$D564,products!$A$1:$A$49,0), MATCH(orders!K$1,  products!$A$1:$G$1,0))</f>
        <v>0.2</v>
      </c>
      <c r="L564" s="7">
        <f>INDEX(products!$A$1:$G$49,MATCH(orders!$D564,products!$A$1:$A$49,0), MATCH(orders!L$1,  products!$A$1:$G$1,0))</f>
        <v>4.7549999999999999</v>
      </c>
      <c r="M564" s="7">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 MATCH(orders!I$1,  products!$A$1:$G$1,0))</f>
        <v>Exc</v>
      </c>
      <c r="J565" t="str">
        <f>INDEX(products!$A$1:$G$49,MATCH(orders!$D565,products!$A$1:$A$49,0), MATCH(orders!J$1,  products!$A$1:$G$1,0))</f>
        <v>M</v>
      </c>
      <c r="K565" s="4">
        <f>INDEX(products!$A$1:$G$49,MATCH(orders!$D565,products!$A$1:$A$49,0), MATCH(orders!K$1,  products!$A$1:$G$1,0))</f>
        <v>1</v>
      </c>
      <c r="L565" s="7">
        <f>INDEX(products!$A$1:$G$49,MATCH(orders!$D565,products!$A$1:$A$49,0), MATCH(orders!L$1,  products!$A$1:$G$1,0))</f>
        <v>13.75</v>
      </c>
      <c r="M565" s="7">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 MATCH(orders!I$1,  products!$A$1:$G$1,0))</f>
        <v>Rob</v>
      </c>
      <c r="J566" t="str">
        <f>INDEX(products!$A$1:$G$49,MATCH(orders!$D566,products!$A$1:$A$49,0), MATCH(orders!J$1,  products!$A$1:$G$1,0))</f>
        <v>L</v>
      </c>
      <c r="K566" s="4">
        <f>INDEX(products!$A$1:$G$49,MATCH(orders!$D566,products!$A$1:$A$49,0), MATCH(orders!K$1,  products!$A$1:$G$1,0))</f>
        <v>0.5</v>
      </c>
      <c r="L566" s="7">
        <f>INDEX(products!$A$1:$G$49,MATCH(orders!$D566,products!$A$1:$A$49,0), MATCH(orders!L$1,  products!$A$1:$G$1,0))</f>
        <v>7.169999999999999</v>
      </c>
      <c r="M566" s="7">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 MATCH(orders!I$1,  products!$A$1:$G$1,0))</f>
        <v>Rob</v>
      </c>
      <c r="J567" t="str">
        <f>INDEX(products!$A$1:$G$49,MATCH(orders!$D567,products!$A$1:$A$49,0), MATCH(orders!J$1,  products!$A$1:$G$1,0))</f>
        <v>D</v>
      </c>
      <c r="K567" s="4">
        <f>INDEX(products!$A$1:$G$49,MATCH(orders!$D567,products!$A$1:$A$49,0), MATCH(orders!K$1,  products!$A$1:$G$1,0))</f>
        <v>2.5</v>
      </c>
      <c r="L567" s="7">
        <f>INDEX(products!$A$1:$G$49,MATCH(orders!$D567,products!$A$1:$A$49,0), MATCH(orders!L$1,  products!$A$1:$G$1,0))</f>
        <v>20.584999999999997</v>
      </c>
      <c r="M567" s="7">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 MATCH(orders!I$1,  products!$A$1:$G$1,0))</f>
        <v>Ara</v>
      </c>
      <c r="J568" t="str">
        <f>INDEX(products!$A$1:$G$49,MATCH(orders!$D568,products!$A$1:$A$49,0), MATCH(orders!J$1,  products!$A$1:$G$1,0))</f>
        <v>M</v>
      </c>
      <c r="K568" s="4">
        <f>INDEX(products!$A$1:$G$49,MATCH(orders!$D568,products!$A$1:$A$49,0), MATCH(orders!K$1,  products!$A$1:$G$1,0))</f>
        <v>0.2</v>
      </c>
      <c r="L568" s="7">
        <f>INDEX(products!$A$1:$G$49,MATCH(orders!$D568,products!$A$1:$A$49,0), MATCH(orders!L$1,  products!$A$1:$G$1,0))</f>
        <v>3.375</v>
      </c>
      <c r="M568" s="7">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 MATCH(orders!I$1,  products!$A$1:$G$1,0))</f>
        <v>Rob</v>
      </c>
      <c r="J569" t="str">
        <f>INDEX(products!$A$1:$G$49,MATCH(orders!$D569,products!$A$1:$A$49,0), MATCH(orders!J$1,  products!$A$1:$G$1,0))</f>
        <v>L</v>
      </c>
      <c r="K569" s="4">
        <f>INDEX(products!$A$1:$G$49,MATCH(orders!$D569,products!$A$1:$A$49,0), MATCH(orders!K$1,  products!$A$1:$G$1,0))</f>
        <v>2.5</v>
      </c>
      <c r="L569" s="7">
        <f>INDEX(products!$A$1:$G$49,MATCH(orders!$D569,products!$A$1:$A$49,0), MATCH(orders!L$1,  products!$A$1:$G$1,0))</f>
        <v>27.484999999999996</v>
      </c>
      <c r="M569" s="7">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 MATCH(orders!I$1,  products!$A$1:$G$1,0))</f>
        <v>Lib</v>
      </c>
      <c r="J570" t="str">
        <f>INDEX(products!$A$1:$G$49,MATCH(orders!$D570,products!$A$1:$A$49,0), MATCH(orders!J$1,  products!$A$1:$G$1,0))</f>
        <v>L</v>
      </c>
      <c r="K570" s="4">
        <f>INDEX(products!$A$1:$G$49,MATCH(orders!$D570,products!$A$1:$A$49,0), MATCH(orders!K$1,  products!$A$1:$G$1,0))</f>
        <v>0.2</v>
      </c>
      <c r="L570" s="7">
        <f>INDEX(products!$A$1:$G$49,MATCH(orders!$D570,products!$A$1:$A$49,0), MATCH(orders!L$1,  products!$A$1:$G$1,0))</f>
        <v>4.7549999999999999</v>
      </c>
      <c r="M570" s="7">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 MATCH(orders!I$1,  products!$A$1:$G$1,0))</f>
        <v>Ara</v>
      </c>
      <c r="J571" t="str">
        <f>INDEX(products!$A$1:$G$49,MATCH(orders!$D571,products!$A$1:$A$49,0), MATCH(orders!J$1,  products!$A$1:$G$1,0))</f>
        <v>D</v>
      </c>
      <c r="K571" s="4">
        <f>INDEX(products!$A$1:$G$49,MATCH(orders!$D571,products!$A$1:$A$49,0), MATCH(orders!K$1,  products!$A$1:$G$1,0))</f>
        <v>2.5</v>
      </c>
      <c r="L571" s="7">
        <f>INDEX(products!$A$1:$G$49,MATCH(orders!$D571,products!$A$1:$A$49,0), MATCH(orders!L$1,  products!$A$1:$G$1,0))</f>
        <v>22.884999999999998</v>
      </c>
      <c r="M571" s="7">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 MATCH(orders!I$1,  products!$A$1:$G$1,0))</f>
        <v>Ara</v>
      </c>
      <c r="J572" t="str">
        <f>INDEX(products!$A$1:$G$49,MATCH(orders!$D572,products!$A$1:$A$49,0), MATCH(orders!J$1,  products!$A$1:$G$1,0))</f>
        <v>M</v>
      </c>
      <c r="K572" s="4">
        <f>INDEX(products!$A$1:$G$49,MATCH(orders!$D572,products!$A$1:$A$49,0), MATCH(orders!K$1,  products!$A$1:$G$1,0))</f>
        <v>0.5</v>
      </c>
      <c r="L572" s="7">
        <f>INDEX(products!$A$1:$G$49,MATCH(orders!$D572,products!$A$1:$A$49,0), MATCH(orders!L$1,  products!$A$1:$G$1,0))</f>
        <v>6.75</v>
      </c>
      <c r="M572" s="7">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 MATCH(orders!I$1,  products!$A$1:$G$1,0))</f>
        <v>Exc</v>
      </c>
      <c r="J573" t="str">
        <f>INDEX(products!$A$1:$G$49,MATCH(orders!$D573,products!$A$1:$A$49,0), MATCH(orders!J$1,  products!$A$1:$G$1,0))</f>
        <v>L</v>
      </c>
      <c r="K573" s="4">
        <f>INDEX(products!$A$1:$G$49,MATCH(orders!$D573,products!$A$1:$A$49,0), MATCH(orders!K$1,  products!$A$1:$G$1,0))</f>
        <v>0.5</v>
      </c>
      <c r="L573" s="7">
        <f>INDEX(products!$A$1:$G$49,MATCH(orders!$D573,products!$A$1:$A$49,0), MATCH(orders!L$1,  products!$A$1:$G$1,0))</f>
        <v>8.91</v>
      </c>
      <c r="M573" s="7">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 MATCH(orders!I$1,  products!$A$1:$G$1,0))</f>
        <v>Ara</v>
      </c>
      <c r="J574" t="str">
        <f>INDEX(products!$A$1:$G$49,MATCH(orders!$D574,products!$A$1:$A$49,0), MATCH(orders!J$1,  products!$A$1:$G$1,0))</f>
        <v>D</v>
      </c>
      <c r="K574" s="4">
        <f>INDEX(products!$A$1:$G$49,MATCH(orders!$D574,products!$A$1:$A$49,0), MATCH(orders!K$1,  products!$A$1:$G$1,0))</f>
        <v>0.2</v>
      </c>
      <c r="L574" s="7">
        <f>INDEX(products!$A$1:$G$49,MATCH(orders!$D574,products!$A$1:$A$49,0), MATCH(orders!L$1,  products!$A$1:$G$1,0))</f>
        <v>2.9849999999999999</v>
      </c>
      <c r="M574" s="7">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 MATCH(orders!I$1,  products!$A$1:$G$1,0))</f>
        <v>Ara</v>
      </c>
      <c r="J575" t="str">
        <f>INDEX(products!$A$1:$G$49,MATCH(orders!$D575,products!$A$1:$A$49,0), MATCH(orders!J$1,  products!$A$1:$G$1,0))</f>
        <v>M</v>
      </c>
      <c r="K575" s="4">
        <f>INDEX(products!$A$1:$G$49,MATCH(orders!$D575,products!$A$1:$A$49,0), MATCH(orders!K$1,  products!$A$1:$G$1,0))</f>
        <v>1</v>
      </c>
      <c r="L575" s="7">
        <f>INDEX(products!$A$1:$G$49,MATCH(orders!$D575,products!$A$1:$A$49,0), MATCH(orders!L$1,  products!$A$1:$G$1,0))</f>
        <v>11.25</v>
      </c>
      <c r="M575" s="7">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 MATCH(orders!I$1,  products!$A$1:$G$1,0))</f>
        <v>Rob</v>
      </c>
      <c r="J576" t="str">
        <f>INDEX(products!$A$1:$G$49,MATCH(orders!$D576,products!$A$1:$A$49,0), MATCH(orders!J$1,  products!$A$1:$G$1,0))</f>
        <v>L</v>
      </c>
      <c r="K576" s="4">
        <f>INDEX(products!$A$1:$G$49,MATCH(orders!$D576,products!$A$1:$A$49,0), MATCH(orders!K$1,  products!$A$1:$G$1,0))</f>
        <v>0.2</v>
      </c>
      <c r="L576" s="7">
        <f>INDEX(products!$A$1:$G$49,MATCH(orders!$D576,products!$A$1:$A$49,0), MATCH(orders!L$1,  products!$A$1:$G$1,0))</f>
        <v>3.5849999999999995</v>
      </c>
      <c r="M576" s="7">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 MATCH(orders!I$1,  products!$A$1:$G$1,0))</f>
        <v>Lib</v>
      </c>
      <c r="J577" t="str">
        <f>INDEX(products!$A$1:$G$49,MATCH(orders!$D577,products!$A$1:$A$49,0), MATCH(orders!J$1,  products!$A$1:$G$1,0))</f>
        <v>M</v>
      </c>
      <c r="K577" s="4">
        <f>INDEX(products!$A$1:$G$49,MATCH(orders!$D577,products!$A$1:$A$49,0), MATCH(orders!K$1,  products!$A$1:$G$1,0))</f>
        <v>2.5</v>
      </c>
      <c r="L577" s="7">
        <f>INDEX(products!$A$1:$G$49,MATCH(orders!$D577,products!$A$1:$A$49,0), MATCH(orders!L$1,  products!$A$1:$G$1,0))</f>
        <v>33.464999999999996</v>
      </c>
      <c r="M577" s="7">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 MATCH(orders!I$1,  products!$A$1:$G$1,0))</f>
        <v>Ara</v>
      </c>
      <c r="J578" t="str">
        <f>INDEX(products!$A$1:$G$49,MATCH(orders!$D578,products!$A$1:$A$49,0), MATCH(orders!J$1,  products!$A$1:$G$1,0))</f>
        <v>D</v>
      </c>
      <c r="K578" s="4">
        <f>INDEX(products!$A$1:$G$49,MATCH(orders!$D578,products!$A$1:$A$49,0), MATCH(orders!K$1,  products!$A$1:$G$1,0))</f>
        <v>0.2</v>
      </c>
      <c r="L578" s="7">
        <f>INDEX(products!$A$1:$G$49,MATCH(orders!$D578,products!$A$1:$A$49,0), MATCH(orders!L$1,  products!$A$1:$G$1,0))</f>
        <v>2.9849999999999999</v>
      </c>
      <c r="M578" s="7">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 MATCH(orders!I$1,  products!$A$1:$G$1,0))</f>
        <v>Lib</v>
      </c>
      <c r="J579" t="str">
        <f>INDEX(products!$A$1:$G$49,MATCH(orders!$D579,products!$A$1:$A$49,0), MATCH(orders!J$1,  products!$A$1:$G$1,0))</f>
        <v>M</v>
      </c>
      <c r="K579" s="4">
        <f>INDEX(products!$A$1:$G$49,MATCH(orders!$D579,products!$A$1:$A$49,0), MATCH(orders!K$1,  products!$A$1:$G$1,0))</f>
        <v>1</v>
      </c>
      <c r="L579" s="7">
        <f>INDEX(products!$A$1:$G$49,MATCH(orders!$D579,products!$A$1:$A$49,0), MATCH(orders!L$1,  products!$A$1:$G$1,0))</f>
        <v>14.55</v>
      </c>
      <c r="M579" s="7">
        <f t="shared" ref="M579:M642" si="27">L579*E579</f>
        <v>58.2</v>
      </c>
      <c r="N579" t="str">
        <f t="shared" ref="N579:N642" si="28">IF(I579="Rob","Robusta", IF(I579="Exc","Excelsa", IF(I579="Ara", "Arabica", IF(I579="Lib", "Liberica", ""))))</f>
        <v>Liberica</v>
      </c>
      <c r="O579" t="str">
        <f t="shared" ref="O579:O642" si="29">IF(J579="M", "Medium", IF(J579="L", "Light",IF(J579="D","Dark","")))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 MATCH(orders!I$1,  products!$A$1:$G$1,0))</f>
        <v>Exc</v>
      </c>
      <c r="J580" t="str">
        <f>INDEX(products!$A$1:$G$49,MATCH(orders!$D580,products!$A$1:$A$49,0), MATCH(orders!J$1,  products!$A$1:$G$1,0))</f>
        <v>L</v>
      </c>
      <c r="K580" s="4">
        <f>INDEX(products!$A$1:$G$49,MATCH(orders!$D580,products!$A$1:$A$49,0), MATCH(orders!K$1,  products!$A$1:$G$1,0))</f>
        <v>0.2</v>
      </c>
      <c r="L580" s="7">
        <f>INDEX(products!$A$1:$G$49,MATCH(orders!$D580,products!$A$1:$A$49,0), MATCH(orders!L$1,  products!$A$1:$G$1,0))</f>
        <v>4.4550000000000001</v>
      </c>
      <c r="M580" s="7">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 MATCH(orders!I$1,  products!$A$1:$G$1,0))</f>
        <v>Ara</v>
      </c>
      <c r="J581" t="str">
        <f>INDEX(products!$A$1:$G$49,MATCH(orders!$D581,products!$A$1:$A$49,0), MATCH(orders!J$1,  products!$A$1:$G$1,0))</f>
        <v>M</v>
      </c>
      <c r="K581" s="4">
        <f>INDEX(products!$A$1:$G$49,MATCH(orders!$D581,products!$A$1:$A$49,0), MATCH(orders!K$1,  products!$A$1:$G$1,0))</f>
        <v>0.5</v>
      </c>
      <c r="L581" s="7">
        <f>INDEX(products!$A$1:$G$49,MATCH(orders!$D581,products!$A$1:$A$49,0), MATCH(orders!L$1,  products!$A$1:$G$1,0))</f>
        <v>6.75</v>
      </c>
      <c r="M581" s="7">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 MATCH(orders!I$1,  products!$A$1:$G$1,0))</f>
        <v>Exc</v>
      </c>
      <c r="J582" t="str">
        <f>INDEX(products!$A$1:$G$49,MATCH(orders!$D582,products!$A$1:$A$49,0), MATCH(orders!J$1,  products!$A$1:$G$1,0))</f>
        <v>L</v>
      </c>
      <c r="K582" s="4">
        <f>INDEX(products!$A$1:$G$49,MATCH(orders!$D582,products!$A$1:$A$49,0), MATCH(orders!K$1,  products!$A$1:$G$1,0))</f>
        <v>1</v>
      </c>
      <c r="L582" s="7">
        <f>INDEX(products!$A$1:$G$49,MATCH(orders!$D582,products!$A$1:$A$49,0), MATCH(orders!L$1,  products!$A$1:$G$1,0))</f>
        <v>14.85</v>
      </c>
      <c r="M582" s="7">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 MATCH(orders!I$1,  products!$A$1:$G$1,0))</f>
        <v>Exc</v>
      </c>
      <c r="J583" t="str">
        <f>INDEX(products!$A$1:$G$49,MATCH(orders!$D583,products!$A$1:$A$49,0), MATCH(orders!J$1,  products!$A$1:$G$1,0))</f>
        <v>L</v>
      </c>
      <c r="K583" s="4">
        <f>INDEX(products!$A$1:$G$49,MATCH(orders!$D583,products!$A$1:$A$49,0), MATCH(orders!K$1,  products!$A$1:$G$1,0))</f>
        <v>0.5</v>
      </c>
      <c r="L583" s="7">
        <f>INDEX(products!$A$1:$G$49,MATCH(orders!$D583,products!$A$1:$A$49,0), MATCH(orders!L$1,  products!$A$1:$G$1,0))</f>
        <v>8.91</v>
      </c>
      <c r="M583" s="7">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 MATCH(orders!I$1,  products!$A$1:$G$1,0))</f>
        <v>Exc</v>
      </c>
      <c r="J584" t="str">
        <f>INDEX(products!$A$1:$G$49,MATCH(orders!$D584,products!$A$1:$A$49,0), MATCH(orders!J$1,  products!$A$1:$G$1,0))</f>
        <v>D</v>
      </c>
      <c r="K584" s="4">
        <f>INDEX(products!$A$1:$G$49,MATCH(orders!$D584,products!$A$1:$A$49,0), MATCH(orders!K$1,  products!$A$1:$G$1,0))</f>
        <v>1</v>
      </c>
      <c r="L584" s="7">
        <f>INDEX(products!$A$1:$G$49,MATCH(orders!$D584,products!$A$1:$A$49,0), MATCH(orders!L$1,  products!$A$1:$G$1,0))</f>
        <v>12.15</v>
      </c>
      <c r="M584" s="7">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 MATCH(orders!I$1,  products!$A$1:$G$1,0))</f>
        <v>Rob</v>
      </c>
      <c r="J585" t="str">
        <f>INDEX(products!$A$1:$G$49,MATCH(orders!$D585,products!$A$1:$A$49,0), MATCH(orders!J$1,  products!$A$1:$G$1,0))</f>
        <v>L</v>
      </c>
      <c r="K585" s="4">
        <f>INDEX(products!$A$1:$G$49,MATCH(orders!$D585,products!$A$1:$A$49,0), MATCH(orders!K$1,  products!$A$1:$G$1,0))</f>
        <v>0.2</v>
      </c>
      <c r="L585" s="7">
        <f>INDEX(products!$A$1:$G$49,MATCH(orders!$D585,products!$A$1:$A$49,0), MATCH(orders!L$1,  products!$A$1:$G$1,0))</f>
        <v>3.5849999999999995</v>
      </c>
      <c r="M585" s="7">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 MATCH(orders!I$1,  products!$A$1:$G$1,0))</f>
        <v>Rob</v>
      </c>
      <c r="J586" t="str">
        <f>INDEX(products!$A$1:$G$49,MATCH(orders!$D586,products!$A$1:$A$49,0), MATCH(orders!J$1,  products!$A$1:$G$1,0))</f>
        <v>L</v>
      </c>
      <c r="K586" s="4">
        <f>INDEX(products!$A$1:$G$49,MATCH(orders!$D586,products!$A$1:$A$49,0), MATCH(orders!K$1,  products!$A$1:$G$1,0))</f>
        <v>0.2</v>
      </c>
      <c r="L586" s="7">
        <f>INDEX(products!$A$1:$G$49,MATCH(orders!$D586,products!$A$1:$A$49,0), MATCH(orders!L$1,  products!$A$1:$G$1,0))</f>
        <v>3.5849999999999995</v>
      </c>
      <c r="M586" s="7">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 MATCH(orders!I$1,  products!$A$1:$G$1,0))</f>
        <v>Exc</v>
      </c>
      <c r="J587" t="str">
        <f>INDEX(products!$A$1:$G$49,MATCH(orders!$D587,products!$A$1:$A$49,0), MATCH(orders!J$1,  products!$A$1:$G$1,0))</f>
        <v>M</v>
      </c>
      <c r="K587" s="4">
        <f>INDEX(products!$A$1:$G$49,MATCH(orders!$D587,products!$A$1:$A$49,0), MATCH(orders!K$1,  products!$A$1:$G$1,0))</f>
        <v>0.5</v>
      </c>
      <c r="L587" s="7">
        <f>INDEX(products!$A$1:$G$49,MATCH(orders!$D587,products!$A$1:$A$49,0), MATCH(orders!L$1,  products!$A$1:$G$1,0))</f>
        <v>8.25</v>
      </c>
      <c r="M587" s="7">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 MATCH(orders!I$1,  products!$A$1:$G$1,0))</f>
        <v>Rob</v>
      </c>
      <c r="J588" t="str">
        <f>INDEX(products!$A$1:$G$49,MATCH(orders!$D588,products!$A$1:$A$49,0), MATCH(orders!J$1,  products!$A$1:$G$1,0))</f>
        <v>L</v>
      </c>
      <c r="K588" s="4">
        <f>INDEX(products!$A$1:$G$49,MATCH(orders!$D588,products!$A$1:$A$49,0), MATCH(orders!K$1,  products!$A$1:$G$1,0))</f>
        <v>2.5</v>
      </c>
      <c r="L588" s="7">
        <f>INDEX(products!$A$1:$G$49,MATCH(orders!$D588,products!$A$1:$A$49,0), MATCH(orders!L$1,  products!$A$1:$G$1,0))</f>
        <v>27.484999999999996</v>
      </c>
      <c r="M588" s="7">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 MATCH(orders!I$1,  products!$A$1:$G$1,0))</f>
        <v>Lib</v>
      </c>
      <c r="J589" t="str">
        <f>INDEX(products!$A$1:$G$49,MATCH(orders!$D589,products!$A$1:$A$49,0), MATCH(orders!J$1,  products!$A$1:$G$1,0))</f>
        <v>D</v>
      </c>
      <c r="K589" s="4">
        <f>INDEX(products!$A$1:$G$49,MATCH(orders!$D589,products!$A$1:$A$49,0), MATCH(orders!K$1,  products!$A$1:$G$1,0))</f>
        <v>0.5</v>
      </c>
      <c r="L589" s="7">
        <f>INDEX(products!$A$1:$G$49,MATCH(orders!$D589,products!$A$1:$A$49,0), MATCH(orders!L$1,  products!$A$1:$G$1,0))</f>
        <v>7.77</v>
      </c>
      <c r="M589" s="7">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 MATCH(orders!I$1,  products!$A$1:$G$1,0))</f>
        <v>Rob</v>
      </c>
      <c r="J590" t="str">
        <f>INDEX(products!$A$1:$G$49,MATCH(orders!$D590,products!$A$1:$A$49,0), MATCH(orders!J$1,  products!$A$1:$G$1,0))</f>
        <v>M</v>
      </c>
      <c r="K590" s="4">
        <f>INDEX(products!$A$1:$G$49,MATCH(orders!$D590,products!$A$1:$A$49,0), MATCH(orders!K$1,  products!$A$1:$G$1,0))</f>
        <v>0.5</v>
      </c>
      <c r="L590" s="7">
        <f>INDEX(products!$A$1:$G$49,MATCH(orders!$D590,products!$A$1:$A$49,0), MATCH(orders!L$1,  products!$A$1:$G$1,0))</f>
        <v>5.97</v>
      </c>
      <c r="M590" s="7">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 MATCH(orders!I$1,  products!$A$1:$G$1,0))</f>
        <v>Exc</v>
      </c>
      <c r="J591" t="str">
        <f>INDEX(products!$A$1:$G$49,MATCH(orders!$D591,products!$A$1:$A$49,0), MATCH(orders!J$1,  products!$A$1:$G$1,0))</f>
        <v>L</v>
      </c>
      <c r="K591" s="4">
        <f>INDEX(products!$A$1:$G$49,MATCH(orders!$D591,products!$A$1:$A$49,0), MATCH(orders!K$1,  products!$A$1:$G$1,0))</f>
        <v>2.5</v>
      </c>
      <c r="L591" s="7">
        <f>INDEX(products!$A$1:$G$49,MATCH(orders!$D591,products!$A$1:$A$49,0), MATCH(orders!L$1,  products!$A$1:$G$1,0))</f>
        <v>34.154999999999994</v>
      </c>
      <c r="M591" s="7">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 MATCH(orders!I$1,  products!$A$1:$G$1,0))</f>
        <v>Exc</v>
      </c>
      <c r="J592" t="str">
        <f>INDEX(products!$A$1:$G$49,MATCH(orders!$D592,products!$A$1:$A$49,0), MATCH(orders!J$1,  products!$A$1:$G$1,0))</f>
        <v>M</v>
      </c>
      <c r="K592" s="4">
        <f>INDEX(products!$A$1:$G$49,MATCH(orders!$D592,products!$A$1:$A$49,0), MATCH(orders!K$1,  products!$A$1:$G$1,0))</f>
        <v>2.5</v>
      </c>
      <c r="L592" s="7">
        <f>INDEX(products!$A$1:$G$49,MATCH(orders!$D592,products!$A$1:$A$49,0), MATCH(orders!L$1,  products!$A$1:$G$1,0))</f>
        <v>31.624999999999996</v>
      </c>
      <c r="M592" s="7">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 MATCH(orders!I$1,  products!$A$1:$G$1,0))</f>
        <v>Rob</v>
      </c>
      <c r="J593" t="str">
        <f>INDEX(products!$A$1:$G$49,MATCH(orders!$D593,products!$A$1:$A$49,0), MATCH(orders!J$1,  products!$A$1:$G$1,0))</f>
        <v>D</v>
      </c>
      <c r="K593" s="4">
        <f>INDEX(products!$A$1:$G$49,MATCH(orders!$D593,products!$A$1:$A$49,0), MATCH(orders!K$1,  products!$A$1:$G$1,0))</f>
        <v>0.2</v>
      </c>
      <c r="L593" s="7">
        <f>INDEX(products!$A$1:$G$49,MATCH(orders!$D593,products!$A$1:$A$49,0), MATCH(orders!L$1,  products!$A$1:$G$1,0))</f>
        <v>2.6849999999999996</v>
      </c>
      <c r="M593" s="7">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 MATCH(orders!I$1,  products!$A$1:$G$1,0))</f>
        <v>Ara</v>
      </c>
      <c r="J594" t="str">
        <f>INDEX(products!$A$1:$G$49,MATCH(orders!$D594,products!$A$1:$A$49,0), MATCH(orders!J$1,  products!$A$1:$G$1,0))</f>
        <v>M</v>
      </c>
      <c r="K594" s="4">
        <f>INDEX(products!$A$1:$G$49,MATCH(orders!$D594,products!$A$1:$A$49,0), MATCH(orders!K$1,  products!$A$1:$G$1,0))</f>
        <v>2.5</v>
      </c>
      <c r="L594" s="7">
        <f>INDEX(products!$A$1:$G$49,MATCH(orders!$D594,products!$A$1:$A$49,0), MATCH(orders!L$1,  products!$A$1:$G$1,0))</f>
        <v>25.874999999999996</v>
      </c>
      <c r="M594" s="7">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 MATCH(orders!I$1,  products!$A$1:$G$1,0))</f>
        <v>Exc</v>
      </c>
      <c r="J595" t="str">
        <f>INDEX(products!$A$1:$G$49,MATCH(orders!$D595,products!$A$1:$A$49,0), MATCH(orders!J$1,  products!$A$1:$G$1,0))</f>
        <v>D</v>
      </c>
      <c r="K595" s="4">
        <f>INDEX(products!$A$1:$G$49,MATCH(orders!$D595,products!$A$1:$A$49,0), MATCH(orders!K$1,  products!$A$1:$G$1,0))</f>
        <v>2.5</v>
      </c>
      <c r="L595" s="7">
        <f>INDEX(products!$A$1:$G$49,MATCH(orders!$D595,products!$A$1:$A$49,0), MATCH(orders!L$1,  products!$A$1:$G$1,0))</f>
        <v>27.945</v>
      </c>
      <c r="M595" s="7">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 MATCH(orders!I$1,  products!$A$1:$G$1,0))</f>
        <v>Ara</v>
      </c>
      <c r="J596" t="str">
        <f>INDEX(products!$A$1:$G$49,MATCH(orders!$D596,products!$A$1:$A$49,0), MATCH(orders!J$1,  products!$A$1:$G$1,0))</f>
        <v>L</v>
      </c>
      <c r="K596" s="4">
        <f>INDEX(products!$A$1:$G$49,MATCH(orders!$D596,products!$A$1:$A$49,0), MATCH(orders!K$1,  products!$A$1:$G$1,0))</f>
        <v>2.5</v>
      </c>
      <c r="L596" s="7">
        <f>INDEX(products!$A$1:$G$49,MATCH(orders!$D596,products!$A$1:$A$49,0), MATCH(orders!L$1,  products!$A$1:$G$1,0))</f>
        <v>29.784999999999997</v>
      </c>
      <c r="M596" s="7">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 MATCH(orders!I$1,  products!$A$1:$G$1,0))</f>
        <v>Exc</v>
      </c>
      <c r="J597" t="str">
        <f>INDEX(products!$A$1:$G$49,MATCH(orders!$D597,products!$A$1:$A$49,0), MATCH(orders!J$1,  products!$A$1:$G$1,0))</f>
        <v>L</v>
      </c>
      <c r="K597" s="4">
        <f>INDEX(products!$A$1:$G$49,MATCH(orders!$D597,products!$A$1:$A$49,0), MATCH(orders!K$1,  products!$A$1:$G$1,0))</f>
        <v>1</v>
      </c>
      <c r="L597" s="7">
        <f>INDEX(products!$A$1:$G$49,MATCH(orders!$D597,products!$A$1:$A$49,0), MATCH(orders!L$1,  products!$A$1:$G$1,0))</f>
        <v>14.85</v>
      </c>
      <c r="M597" s="7">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 MATCH(orders!I$1,  products!$A$1:$G$1,0))</f>
        <v>Ara</v>
      </c>
      <c r="J598" t="str">
        <f>INDEX(products!$A$1:$G$49,MATCH(orders!$D598,products!$A$1:$A$49,0), MATCH(orders!J$1,  products!$A$1:$G$1,0))</f>
        <v>M</v>
      </c>
      <c r="K598" s="4">
        <f>INDEX(products!$A$1:$G$49,MATCH(orders!$D598,products!$A$1:$A$49,0), MATCH(orders!K$1,  products!$A$1:$G$1,0))</f>
        <v>0.5</v>
      </c>
      <c r="L598" s="7">
        <f>INDEX(products!$A$1:$G$49,MATCH(orders!$D598,products!$A$1:$A$49,0), MATCH(orders!L$1,  products!$A$1:$G$1,0))</f>
        <v>6.75</v>
      </c>
      <c r="M598" s="7">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 MATCH(orders!I$1,  products!$A$1:$G$1,0))</f>
        <v>Lib</v>
      </c>
      <c r="J599" t="str">
        <f>INDEX(products!$A$1:$G$49,MATCH(orders!$D599,products!$A$1:$A$49,0), MATCH(orders!J$1,  products!$A$1:$G$1,0))</f>
        <v>L</v>
      </c>
      <c r="K599" s="4">
        <f>INDEX(products!$A$1:$G$49,MATCH(orders!$D599,products!$A$1:$A$49,0), MATCH(orders!K$1,  products!$A$1:$G$1,0))</f>
        <v>2.5</v>
      </c>
      <c r="L599" s="7">
        <f>INDEX(products!$A$1:$G$49,MATCH(orders!$D599,products!$A$1:$A$49,0), MATCH(orders!L$1,  products!$A$1:$G$1,0))</f>
        <v>36.454999999999998</v>
      </c>
      <c r="M599" s="7">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 MATCH(orders!I$1,  products!$A$1:$G$1,0))</f>
        <v>Rob</v>
      </c>
      <c r="J600" t="str">
        <f>INDEX(products!$A$1:$G$49,MATCH(orders!$D600,products!$A$1:$A$49,0), MATCH(orders!J$1,  products!$A$1:$G$1,0))</f>
        <v>M</v>
      </c>
      <c r="K600" s="4">
        <f>INDEX(products!$A$1:$G$49,MATCH(orders!$D600,products!$A$1:$A$49,0), MATCH(orders!K$1,  products!$A$1:$G$1,0))</f>
        <v>0.2</v>
      </c>
      <c r="L600" s="7">
        <f>INDEX(products!$A$1:$G$49,MATCH(orders!$D600,products!$A$1:$A$49,0), MATCH(orders!L$1,  products!$A$1:$G$1,0))</f>
        <v>2.9849999999999999</v>
      </c>
      <c r="M600" s="7">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 MATCH(orders!I$1,  products!$A$1:$G$1,0))</f>
        <v>Ara</v>
      </c>
      <c r="J601" t="str">
        <f>INDEX(products!$A$1:$G$49,MATCH(orders!$D601,products!$A$1:$A$49,0), MATCH(orders!J$1,  products!$A$1:$G$1,0))</f>
        <v>D</v>
      </c>
      <c r="K601" s="4">
        <f>INDEX(products!$A$1:$G$49,MATCH(orders!$D601,products!$A$1:$A$49,0), MATCH(orders!K$1,  products!$A$1:$G$1,0))</f>
        <v>0.2</v>
      </c>
      <c r="L601" s="7">
        <f>INDEX(products!$A$1:$G$49,MATCH(orders!$D601,products!$A$1:$A$49,0), MATCH(orders!L$1,  products!$A$1:$G$1,0))</f>
        <v>2.9849999999999999</v>
      </c>
      <c r="M601" s="7">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 MATCH(orders!I$1,  products!$A$1:$G$1,0))</f>
        <v>Lib</v>
      </c>
      <c r="J602" t="str">
        <f>INDEX(products!$A$1:$G$49,MATCH(orders!$D602,products!$A$1:$A$49,0), MATCH(orders!J$1,  products!$A$1:$G$1,0))</f>
        <v>D</v>
      </c>
      <c r="K602" s="4">
        <f>INDEX(products!$A$1:$G$49,MATCH(orders!$D602,products!$A$1:$A$49,0), MATCH(orders!K$1,  products!$A$1:$G$1,0))</f>
        <v>0.5</v>
      </c>
      <c r="L602" s="7">
        <f>INDEX(products!$A$1:$G$49,MATCH(orders!$D602,products!$A$1:$A$49,0), MATCH(orders!L$1,  products!$A$1:$G$1,0))</f>
        <v>7.77</v>
      </c>
      <c r="M602" s="7">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 MATCH(orders!I$1,  products!$A$1:$G$1,0))</f>
        <v>Rob</v>
      </c>
      <c r="J603" t="str">
        <f>INDEX(products!$A$1:$G$49,MATCH(orders!$D603,products!$A$1:$A$49,0), MATCH(orders!J$1,  products!$A$1:$G$1,0))</f>
        <v>L</v>
      </c>
      <c r="K603" s="4">
        <f>INDEX(products!$A$1:$G$49,MATCH(orders!$D603,products!$A$1:$A$49,0), MATCH(orders!K$1,  products!$A$1:$G$1,0))</f>
        <v>2.5</v>
      </c>
      <c r="L603" s="7">
        <f>INDEX(products!$A$1:$G$49,MATCH(orders!$D603,products!$A$1:$A$49,0), MATCH(orders!L$1,  products!$A$1:$G$1,0))</f>
        <v>27.484999999999996</v>
      </c>
      <c r="M603" s="7">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 MATCH(orders!I$1,  products!$A$1:$G$1,0))</f>
        <v>Exc</v>
      </c>
      <c r="J604" t="str">
        <f>INDEX(products!$A$1:$G$49,MATCH(orders!$D604,products!$A$1:$A$49,0), MATCH(orders!J$1,  products!$A$1:$G$1,0))</f>
        <v>L</v>
      </c>
      <c r="K604" s="4">
        <f>INDEX(products!$A$1:$G$49,MATCH(orders!$D604,products!$A$1:$A$49,0), MATCH(orders!K$1,  products!$A$1:$G$1,0))</f>
        <v>0.2</v>
      </c>
      <c r="L604" s="7">
        <f>INDEX(products!$A$1:$G$49,MATCH(orders!$D604,products!$A$1:$A$49,0), MATCH(orders!L$1,  products!$A$1:$G$1,0))</f>
        <v>4.4550000000000001</v>
      </c>
      <c r="M604" s="7">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 MATCH(orders!I$1,  products!$A$1:$G$1,0))</f>
        <v>Rob</v>
      </c>
      <c r="J605" t="str">
        <f>INDEX(products!$A$1:$G$49,MATCH(orders!$D605,products!$A$1:$A$49,0), MATCH(orders!J$1,  products!$A$1:$G$1,0))</f>
        <v>M</v>
      </c>
      <c r="K605" s="4">
        <f>INDEX(products!$A$1:$G$49,MATCH(orders!$D605,products!$A$1:$A$49,0), MATCH(orders!K$1,  products!$A$1:$G$1,0))</f>
        <v>0.2</v>
      </c>
      <c r="L605" s="7">
        <f>INDEX(products!$A$1:$G$49,MATCH(orders!$D605,products!$A$1:$A$49,0), MATCH(orders!L$1,  products!$A$1:$G$1,0))</f>
        <v>2.9849999999999999</v>
      </c>
      <c r="M605" s="7">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 MATCH(orders!I$1,  products!$A$1:$G$1,0))</f>
        <v>Lib</v>
      </c>
      <c r="J606" t="str">
        <f>INDEX(products!$A$1:$G$49,MATCH(orders!$D606,products!$A$1:$A$49,0), MATCH(orders!J$1,  products!$A$1:$G$1,0))</f>
        <v>D</v>
      </c>
      <c r="K606" s="4">
        <f>INDEX(products!$A$1:$G$49,MATCH(orders!$D606,products!$A$1:$A$49,0), MATCH(orders!K$1,  products!$A$1:$G$1,0))</f>
        <v>2.5</v>
      </c>
      <c r="L606" s="7">
        <f>INDEX(products!$A$1:$G$49,MATCH(orders!$D606,products!$A$1:$A$49,0), MATCH(orders!L$1,  products!$A$1:$G$1,0))</f>
        <v>29.784999999999997</v>
      </c>
      <c r="M606" s="7">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 MATCH(orders!I$1,  products!$A$1:$G$1,0))</f>
        <v>Ara</v>
      </c>
      <c r="J607" t="str">
        <f>INDEX(products!$A$1:$G$49,MATCH(orders!$D607,products!$A$1:$A$49,0), MATCH(orders!J$1,  products!$A$1:$G$1,0))</f>
        <v>L</v>
      </c>
      <c r="K607" s="4">
        <f>INDEX(products!$A$1:$G$49,MATCH(orders!$D607,products!$A$1:$A$49,0), MATCH(orders!K$1,  products!$A$1:$G$1,0))</f>
        <v>2.5</v>
      </c>
      <c r="L607" s="7">
        <f>INDEX(products!$A$1:$G$49,MATCH(orders!$D607,products!$A$1:$A$49,0), MATCH(orders!L$1,  products!$A$1:$G$1,0))</f>
        <v>29.784999999999997</v>
      </c>
      <c r="M607" s="7">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 MATCH(orders!I$1,  products!$A$1:$G$1,0))</f>
        <v>Lib</v>
      </c>
      <c r="J608" t="str">
        <f>INDEX(products!$A$1:$G$49,MATCH(orders!$D608,products!$A$1:$A$49,0), MATCH(orders!J$1,  products!$A$1:$G$1,0))</f>
        <v>L</v>
      </c>
      <c r="K608" s="4">
        <f>INDEX(products!$A$1:$G$49,MATCH(orders!$D608,products!$A$1:$A$49,0), MATCH(orders!K$1,  products!$A$1:$G$1,0))</f>
        <v>2.5</v>
      </c>
      <c r="L608" s="7">
        <f>INDEX(products!$A$1:$G$49,MATCH(orders!$D608,products!$A$1:$A$49,0), MATCH(orders!L$1,  products!$A$1:$G$1,0))</f>
        <v>36.454999999999998</v>
      </c>
      <c r="M608" s="7">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 MATCH(orders!I$1,  products!$A$1:$G$1,0))</f>
        <v>Exc</v>
      </c>
      <c r="J609" t="str">
        <f>INDEX(products!$A$1:$G$49,MATCH(orders!$D609,products!$A$1:$A$49,0), MATCH(orders!J$1,  products!$A$1:$G$1,0))</f>
        <v>D</v>
      </c>
      <c r="K609" s="4">
        <f>INDEX(products!$A$1:$G$49,MATCH(orders!$D609,products!$A$1:$A$49,0), MATCH(orders!K$1,  products!$A$1:$G$1,0))</f>
        <v>0.2</v>
      </c>
      <c r="L609" s="7">
        <f>INDEX(products!$A$1:$G$49,MATCH(orders!$D609,products!$A$1:$A$49,0), MATCH(orders!L$1,  products!$A$1:$G$1,0))</f>
        <v>3.645</v>
      </c>
      <c r="M609" s="7">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 MATCH(orders!I$1,  products!$A$1:$G$1,0))</f>
        <v>Exc</v>
      </c>
      <c r="J610" t="str">
        <f>INDEX(products!$A$1:$G$49,MATCH(orders!$D610,products!$A$1:$A$49,0), MATCH(orders!J$1,  products!$A$1:$G$1,0))</f>
        <v>D</v>
      </c>
      <c r="K610" s="4">
        <f>INDEX(products!$A$1:$G$49,MATCH(orders!$D610,products!$A$1:$A$49,0), MATCH(orders!K$1,  products!$A$1:$G$1,0))</f>
        <v>2.5</v>
      </c>
      <c r="L610" s="7">
        <f>INDEX(products!$A$1:$G$49,MATCH(orders!$D610,products!$A$1:$A$49,0), MATCH(orders!L$1,  products!$A$1:$G$1,0))</f>
        <v>27.945</v>
      </c>
      <c r="M610" s="7">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 MATCH(orders!I$1,  products!$A$1:$G$1,0))</f>
        <v>Lib</v>
      </c>
      <c r="J611" t="str">
        <f>INDEX(products!$A$1:$G$49,MATCH(orders!$D611,products!$A$1:$A$49,0), MATCH(orders!J$1,  products!$A$1:$G$1,0))</f>
        <v>M</v>
      </c>
      <c r="K611" s="4">
        <f>INDEX(products!$A$1:$G$49,MATCH(orders!$D611,products!$A$1:$A$49,0), MATCH(orders!K$1,  products!$A$1:$G$1,0))</f>
        <v>0.2</v>
      </c>
      <c r="L611" s="7">
        <f>INDEX(products!$A$1:$G$49,MATCH(orders!$D611,products!$A$1:$A$49,0), MATCH(orders!L$1,  products!$A$1:$G$1,0))</f>
        <v>4.3650000000000002</v>
      </c>
      <c r="M611" s="7">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 MATCH(orders!I$1,  products!$A$1:$G$1,0))</f>
        <v>Rob</v>
      </c>
      <c r="J612" t="str">
        <f>INDEX(products!$A$1:$G$49,MATCH(orders!$D612,products!$A$1:$A$49,0), MATCH(orders!J$1,  products!$A$1:$G$1,0))</f>
        <v>M</v>
      </c>
      <c r="K612" s="4">
        <f>INDEX(products!$A$1:$G$49,MATCH(orders!$D612,products!$A$1:$A$49,0), MATCH(orders!K$1,  products!$A$1:$G$1,0))</f>
        <v>1</v>
      </c>
      <c r="L612" s="7">
        <f>INDEX(products!$A$1:$G$49,MATCH(orders!$D612,products!$A$1:$A$49,0), MATCH(orders!L$1,  products!$A$1:$G$1,0))</f>
        <v>9.9499999999999993</v>
      </c>
      <c r="M612" s="7">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 MATCH(orders!I$1,  products!$A$1:$G$1,0))</f>
        <v>Exc</v>
      </c>
      <c r="J613" t="str">
        <f>INDEX(products!$A$1:$G$49,MATCH(orders!$D613,products!$A$1:$A$49,0), MATCH(orders!J$1,  products!$A$1:$G$1,0))</f>
        <v>L</v>
      </c>
      <c r="K613" s="4">
        <f>INDEX(products!$A$1:$G$49,MATCH(orders!$D613,products!$A$1:$A$49,0), MATCH(orders!K$1,  products!$A$1:$G$1,0))</f>
        <v>2.5</v>
      </c>
      <c r="L613" s="7">
        <f>INDEX(products!$A$1:$G$49,MATCH(orders!$D613,products!$A$1:$A$49,0), MATCH(orders!L$1,  products!$A$1:$G$1,0))</f>
        <v>34.154999999999994</v>
      </c>
      <c r="M613" s="7">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 MATCH(orders!I$1,  products!$A$1:$G$1,0))</f>
        <v>Ara</v>
      </c>
      <c r="J614" t="str">
        <f>INDEX(products!$A$1:$G$49,MATCH(orders!$D614,products!$A$1:$A$49,0), MATCH(orders!J$1,  products!$A$1:$G$1,0))</f>
        <v>M</v>
      </c>
      <c r="K614" s="4">
        <f>INDEX(products!$A$1:$G$49,MATCH(orders!$D614,products!$A$1:$A$49,0), MATCH(orders!K$1,  products!$A$1:$G$1,0))</f>
        <v>0.2</v>
      </c>
      <c r="L614" s="7">
        <f>INDEX(products!$A$1:$G$49,MATCH(orders!$D614,products!$A$1:$A$49,0), MATCH(orders!L$1,  products!$A$1:$G$1,0))</f>
        <v>3.375</v>
      </c>
      <c r="M614" s="7">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 MATCH(orders!I$1,  products!$A$1:$G$1,0))</f>
        <v>Rob</v>
      </c>
      <c r="J615" t="str">
        <f>INDEX(products!$A$1:$G$49,MATCH(orders!$D615,products!$A$1:$A$49,0), MATCH(orders!J$1,  products!$A$1:$G$1,0))</f>
        <v>M</v>
      </c>
      <c r="K615" s="4">
        <f>INDEX(products!$A$1:$G$49,MATCH(orders!$D615,products!$A$1:$A$49,0), MATCH(orders!K$1,  products!$A$1:$G$1,0))</f>
        <v>0.5</v>
      </c>
      <c r="L615" s="7">
        <f>INDEX(products!$A$1:$G$49,MATCH(orders!$D615,products!$A$1:$A$49,0), MATCH(orders!L$1,  products!$A$1:$G$1,0))</f>
        <v>5.97</v>
      </c>
      <c r="M615" s="7">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 MATCH(orders!I$1,  products!$A$1:$G$1,0))</f>
        <v>Rob</v>
      </c>
      <c r="J616" t="str">
        <f>INDEX(products!$A$1:$G$49,MATCH(orders!$D616,products!$A$1:$A$49,0), MATCH(orders!J$1,  products!$A$1:$G$1,0))</f>
        <v>M</v>
      </c>
      <c r="K616" s="4">
        <f>INDEX(products!$A$1:$G$49,MATCH(orders!$D616,products!$A$1:$A$49,0), MATCH(orders!K$1,  products!$A$1:$G$1,0))</f>
        <v>0.5</v>
      </c>
      <c r="L616" s="7">
        <f>INDEX(products!$A$1:$G$49,MATCH(orders!$D616,products!$A$1:$A$49,0), MATCH(orders!L$1,  products!$A$1:$G$1,0))</f>
        <v>5.97</v>
      </c>
      <c r="M616" s="7">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 MATCH(orders!I$1,  products!$A$1:$G$1,0))</f>
        <v>Lib</v>
      </c>
      <c r="J617" t="str">
        <f>INDEX(products!$A$1:$G$49,MATCH(orders!$D617,products!$A$1:$A$49,0), MATCH(orders!J$1,  products!$A$1:$G$1,0))</f>
        <v>L</v>
      </c>
      <c r="K617" s="4">
        <f>INDEX(products!$A$1:$G$49,MATCH(orders!$D617,products!$A$1:$A$49,0), MATCH(orders!K$1,  products!$A$1:$G$1,0))</f>
        <v>2.5</v>
      </c>
      <c r="L617" s="7">
        <f>INDEX(products!$A$1:$G$49,MATCH(orders!$D617,products!$A$1:$A$49,0), MATCH(orders!L$1,  products!$A$1:$G$1,0))</f>
        <v>36.454999999999998</v>
      </c>
      <c r="M617" s="7">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 MATCH(orders!I$1,  products!$A$1:$G$1,0))</f>
        <v>Exc</v>
      </c>
      <c r="J618" t="str">
        <f>INDEX(products!$A$1:$G$49,MATCH(orders!$D618,products!$A$1:$A$49,0), MATCH(orders!J$1,  products!$A$1:$G$1,0))</f>
        <v>M</v>
      </c>
      <c r="K618" s="4">
        <f>INDEX(products!$A$1:$G$49,MATCH(orders!$D618,products!$A$1:$A$49,0), MATCH(orders!K$1,  products!$A$1:$G$1,0))</f>
        <v>2.5</v>
      </c>
      <c r="L618" s="7">
        <f>INDEX(products!$A$1:$G$49,MATCH(orders!$D618,products!$A$1:$A$49,0), MATCH(orders!L$1,  products!$A$1:$G$1,0))</f>
        <v>31.624999999999996</v>
      </c>
      <c r="M618" s="7">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 MATCH(orders!I$1,  products!$A$1:$G$1,0))</f>
        <v>Lib</v>
      </c>
      <c r="J619" t="str">
        <f>INDEX(products!$A$1:$G$49,MATCH(orders!$D619,products!$A$1:$A$49,0), MATCH(orders!J$1,  products!$A$1:$G$1,0))</f>
        <v>M</v>
      </c>
      <c r="K619" s="4">
        <f>INDEX(products!$A$1:$G$49,MATCH(orders!$D619,products!$A$1:$A$49,0), MATCH(orders!K$1,  products!$A$1:$G$1,0))</f>
        <v>2.5</v>
      </c>
      <c r="L619" s="7">
        <f>INDEX(products!$A$1:$G$49,MATCH(orders!$D619,products!$A$1:$A$49,0), MATCH(orders!L$1,  products!$A$1:$G$1,0))</f>
        <v>33.464999999999996</v>
      </c>
      <c r="M619" s="7">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 MATCH(orders!I$1,  products!$A$1:$G$1,0))</f>
        <v>Exc</v>
      </c>
      <c r="J620" t="str">
        <f>INDEX(products!$A$1:$G$49,MATCH(orders!$D620,products!$A$1:$A$49,0), MATCH(orders!J$1,  products!$A$1:$G$1,0))</f>
        <v>D</v>
      </c>
      <c r="K620" s="4">
        <f>INDEX(products!$A$1:$G$49,MATCH(orders!$D620,products!$A$1:$A$49,0), MATCH(orders!K$1,  products!$A$1:$G$1,0))</f>
        <v>1</v>
      </c>
      <c r="L620" s="7">
        <f>INDEX(products!$A$1:$G$49,MATCH(orders!$D620,products!$A$1:$A$49,0), MATCH(orders!L$1,  products!$A$1:$G$1,0))</f>
        <v>12.15</v>
      </c>
      <c r="M620" s="7">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 MATCH(orders!I$1,  products!$A$1:$G$1,0))</f>
        <v>Lib</v>
      </c>
      <c r="J621" t="str">
        <f>INDEX(products!$A$1:$G$49,MATCH(orders!$D621,products!$A$1:$A$49,0), MATCH(orders!J$1,  products!$A$1:$G$1,0))</f>
        <v>D</v>
      </c>
      <c r="K621" s="4">
        <f>INDEX(products!$A$1:$G$49,MATCH(orders!$D621,products!$A$1:$A$49,0), MATCH(orders!K$1,  products!$A$1:$G$1,0))</f>
        <v>0.5</v>
      </c>
      <c r="L621" s="7">
        <f>INDEX(products!$A$1:$G$49,MATCH(orders!$D621,products!$A$1:$A$49,0), MATCH(orders!L$1,  products!$A$1:$G$1,0))</f>
        <v>7.77</v>
      </c>
      <c r="M621" s="7">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 MATCH(orders!I$1,  products!$A$1:$G$1,0))</f>
        <v>Ara</v>
      </c>
      <c r="J622" t="str">
        <f>INDEX(products!$A$1:$G$49,MATCH(orders!$D622,products!$A$1:$A$49,0), MATCH(orders!J$1,  products!$A$1:$G$1,0))</f>
        <v>M</v>
      </c>
      <c r="K622" s="4">
        <f>INDEX(products!$A$1:$G$49,MATCH(orders!$D622,products!$A$1:$A$49,0), MATCH(orders!K$1,  products!$A$1:$G$1,0))</f>
        <v>0.2</v>
      </c>
      <c r="L622" s="7">
        <f>INDEX(products!$A$1:$G$49,MATCH(orders!$D622,products!$A$1:$A$49,0), MATCH(orders!L$1,  products!$A$1:$G$1,0))</f>
        <v>3.375</v>
      </c>
      <c r="M622" s="7">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 MATCH(orders!I$1,  products!$A$1:$G$1,0))</f>
        <v>Ara</v>
      </c>
      <c r="J623" t="str">
        <f>INDEX(products!$A$1:$G$49,MATCH(orders!$D623,products!$A$1:$A$49,0), MATCH(orders!J$1,  products!$A$1:$G$1,0))</f>
        <v>L</v>
      </c>
      <c r="K623" s="4">
        <f>INDEX(products!$A$1:$G$49,MATCH(orders!$D623,products!$A$1:$A$49,0), MATCH(orders!K$1,  products!$A$1:$G$1,0))</f>
        <v>1</v>
      </c>
      <c r="L623" s="7">
        <f>INDEX(products!$A$1:$G$49,MATCH(orders!$D623,products!$A$1:$A$49,0), MATCH(orders!L$1,  products!$A$1:$G$1,0))</f>
        <v>12.95</v>
      </c>
      <c r="M623" s="7">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 MATCH(orders!I$1,  products!$A$1:$G$1,0))</f>
        <v>Lib</v>
      </c>
      <c r="J624" t="str">
        <f>INDEX(products!$A$1:$G$49,MATCH(orders!$D624,products!$A$1:$A$49,0), MATCH(orders!J$1,  products!$A$1:$G$1,0))</f>
        <v>M</v>
      </c>
      <c r="K624" s="4">
        <f>INDEX(products!$A$1:$G$49,MATCH(orders!$D624,products!$A$1:$A$49,0), MATCH(orders!K$1,  products!$A$1:$G$1,0))</f>
        <v>2.5</v>
      </c>
      <c r="L624" s="7">
        <f>INDEX(products!$A$1:$G$49,MATCH(orders!$D624,products!$A$1:$A$49,0), MATCH(orders!L$1,  products!$A$1:$G$1,0))</f>
        <v>33.464999999999996</v>
      </c>
      <c r="M624" s="7">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 MATCH(orders!I$1,  products!$A$1:$G$1,0))</f>
        <v>Exc</v>
      </c>
      <c r="J625" t="str">
        <f>INDEX(products!$A$1:$G$49,MATCH(orders!$D625,products!$A$1:$A$49,0), MATCH(orders!J$1,  products!$A$1:$G$1,0))</f>
        <v>D</v>
      </c>
      <c r="K625" s="4">
        <f>INDEX(products!$A$1:$G$49,MATCH(orders!$D625,products!$A$1:$A$49,0), MATCH(orders!K$1,  products!$A$1:$G$1,0))</f>
        <v>1</v>
      </c>
      <c r="L625" s="7">
        <f>INDEX(products!$A$1:$G$49,MATCH(orders!$D625,products!$A$1:$A$49,0), MATCH(orders!L$1,  products!$A$1:$G$1,0))</f>
        <v>12.15</v>
      </c>
      <c r="M625" s="7">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 MATCH(orders!I$1,  products!$A$1:$G$1,0))</f>
        <v>Exc</v>
      </c>
      <c r="J626" t="str">
        <f>INDEX(products!$A$1:$G$49,MATCH(orders!$D626,products!$A$1:$A$49,0), MATCH(orders!J$1,  products!$A$1:$G$1,0))</f>
        <v>M</v>
      </c>
      <c r="K626" s="4">
        <f>INDEX(products!$A$1:$G$49,MATCH(orders!$D626,products!$A$1:$A$49,0), MATCH(orders!K$1,  products!$A$1:$G$1,0))</f>
        <v>2.5</v>
      </c>
      <c r="L626" s="7">
        <f>INDEX(products!$A$1:$G$49,MATCH(orders!$D626,products!$A$1:$A$49,0), MATCH(orders!L$1,  products!$A$1:$G$1,0))</f>
        <v>31.624999999999996</v>
      </c>
      <c r="M626" s="7">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 MATCH(orders!I$1,  products!$A$1:$G$1,0))</f>
        <v>Rob</v>
      </c>
      <c r="J627" t="str">
        <f>INDEX(products!$A$1:$G$49,MATCH(orders!$D627,products!$A$1:$A$49,0), MATCH(orders!J$1,  products!$A$1:$G$1,0))</f>
        <v>L</v>
      </c>
      <c r="K627" s="4">
        <f>INDEX(products!$A$1:$G$49,MATCH(orders!$D627,products!$A$1:$A$49,0), MATCH(orders!K$1,  products!$A$1:$G$1,0))</f>
        <v>0.5</v>
      </c>
      <c r="L627" s="7">
        <f>INDEX(products!$A$1:$G$49,MATCH(orders!$D627,products!$A$1:$A$49,0), MATCH(orders!L$1,  products!$A$1:$G$1,0))</f>
        <v>7.169999999999999</v>
      </c>
      <c r="M627" s="7">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 MATCH(orders!I$1,  products!$A$1:$G$1,0))</f>
        <v>Ara</v>
      </c>
      <c r="J628" t="str">
        <f>INDEX(products!$A$1:$G$49,MATCH(orders!$D628,products!$A$1:$A$49,0), MATCH(orders!J$1,  products!$A$1:$G$1,0))</f>
        <v>M</v>
      </c>
      <c r="K628" s="4">
        <f>INDEX(products!$A$1:$G$49,MATCH(orders!$D628,products!$A$1:$A$49,0), MATCH(orders!K$1,  products!$A$1:$G$1,0))</f>
        <v>2.5</v>
      </c>
      <c r="L628" s="7">
        <f>INDEX(products!$A$1:$G$49,MATCH(orders!$D628,products!$A$1:$A$49,0), MATCH(orders!L$1,  products!$A$1:$G$1,0))</f>
        <v>25.874999999999996</v>
      </c>
      <c r="M628" s="7">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 MATCH(orders!I$1,  products!$A$1:$G$1,0))</f>
        <v>Exc</v>
      </c>
      <c r="J629" t="str">
        <f>INDEX(products!$A$1:$G$49,MATCH(orders!$D629,products!$A$1:$A$49,0), MATCH(orders!J$1,  products!$A$1:$G$1,0))</f>
        <v>M</v>
      </c>
      <c r="K629" s="4">
        <f>INDEX(products!$A$1:$G$49,MATCH(orders!$D629,products!$A$1:$A$49,0), MATCH(orders!K$1,  products!$A$1:$G$1,0))</f>
        <v>2.5</v>
      </c>
      <c r="L629" s="7">
        <f>INDEX(products!$A$1:$G$49,MATCH(orders!$D629,products!$A$1:$A$49,0), MATCH(orders!L$1,  products!$A$1:$G$1,0))</f>
        <v>31.624999999999996</v>
      </c>
      <c r="M629" s="7">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 MATCH(orders!I$1,  products!$A$1:$G$1,0))</f>
        <v>Exc</v>
      </c>
      <c r="J630" t="str">
        <f>INDEX(products!$A$1:$G$49,MATCH(orders!$D630,products!$A$1:$A$49,0), MATCH(orders!J$1,  products!$A$1:$G$1,0))</f>
        <v>L</v>
      </c>
      <c r="K630" s="4">
        <f>INDEX(products!$A$1:$G$49,MATCH(orders!$D630,products!$A$1:$A$49,0), MATCH(orders!K$1,  products!$A$1:$G$1,0))</f>
        <v>0.2</v>
      </c>
      <c r="L630" s="7">
        <f>INDEX(products!$A$1:$G$49,MATCH(orders!$D630,products!$A$1:$A$49,0), MATCH(orders!L$1,  products!$A$1:$G$1,0))</f>
        <v>4.4550000000000001</v>
      </c>
      <c r="M630" s="7">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 MATCH(orders!I$1,  products!$A$1:$G$1,0))</f>
        <v>Lib</v>
      </c>
      <c r="J631" t="str">
        <f>INDEX(products!$A$1:$G$49,MATCH(orders!$D631,products!$A$1:$A$49,0), MATCH(orders!J$1,  products!$A$1:$G$1,0))</f>
        <v>D</v>
      </c>
      <c r="K631" s="4">
        <f>INDEX(products!$A$1:$G$49,MATCH(orders!$D631,products!$A$1:$A$49,0), MATCH(orders!K$1,  products!$A$1:$G$1,0))</f>
        <v>0.5</v>
      </c>
      <c r="L631" s="7">
        <f>INDEX(products!$A$1:$G$49,MATCH(orders!$D631,products!$A$1:$A$49,0), MATCH(orders!L$1,  products!$A$1:$G$1,0))</f>
        <v>7.77</v>
      </c>
      <c r="M631" s="7">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 MATCH(orders!I$1,  products!$A$1:$G$1,0))</f>
        <v>Ara</v>
      </c>
      <c r="J632" t="str">
        <f>INDEX(products!$A$1:$G$49,MATCH(orders!$D632,products!$A$1:$A$49,0), MATCH(orders!J$1,  products!$A$1:$G$1,0))</f>
        <v>D</v>
      </c>
      <c r="K632" s="4">
        <f>INDEX(products!$A$1:$G$49,MATCH(orders!$D632,products!$A$1:$A$49,0), MATCH(orders!K$1,  products!$A$1:$G$1,0))</f>
        <v>0.2</v>
      </c>
      <c r="L632" s="7">
        <f>INDEX(products!$A$1:$G$49,MATCH(orders!$D632,products!$A$1:$A$49,0), MATCH(orders!L$1,  products!$A$1:$G$1,0))</f>
        <v>2.9849999999999999</v>
      </c>
      <c r="M632" s="7">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 MATCH(orders!I$1,  products!$A$1:$G$1,0))</f>
        <v>Rob</v>
      </c>
      <c r="J633" t="str">
        <f>INDEX(products!$A$1:$G$49,MATCH(orders!$D633,products!$A$1:$A$49,0), MATCH(orders!J$1,  products!$A$1:$G$1,0))</f>
        <v>D</v>
      </c>
      <c r="K633" s="4">
        <f>INDEX(products!$A$1:$G$49,MATCH(orders!$D633,products!$A$1:$A$49,0), MATCH(orders!K$1,  products!$A$1:$G$1,0))</f>
        <v>2.5</v>
      </c>
      <c r="L633" s="7">
        <f>INDEX(products!$A$1:$G$49,MATCH(orders!$D633,products!$A$1:$A$49,0), MATCH(orders!L$1,  products!$A$1:$G$1,0))</f>
        <v>20.584999999999997</v>
      </c>
      <c r="M633" s="7">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 MATCH(orders!I$1,  products!$A$1:$G$1,0))</f>
        <v>Exc</v>
      </c>
      <c r="J634" t="str">
        <f>INDEX(products!$A$1:$G$49,MATCH(orders!$D634,products!$A$1:$A$49,0), MATCH(orders!J$1,  products!$A$1:$G$1,0))</f>
        <v>L</v>
      </c>
      <c r="K634" s="4">
        <f>INDEX(products!$A$1:$G$49,MATCH(orders!$D634,products!$A$1:$A$49,0), MATCH(orders!K$1,  products!$A$1:$G$1,0))</f>
        <v>0.5</v>
      </c>
      <c r="L634" s="7">
        <f>INDEX(products!$A$1:$G$49,MATCH(orders!$D634,products!$A$1:$A$49,0), MATCH(orders!L$1,  products!$A$1:$G$1,0))</f>
        <v>8.91</v>
      </c>
      <c r="M634" s="7">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 MATCH(orders!I$1,  products!$A$1:$G$1,0))</f>
        <v>Rob</v>
      </c>
      <c r="J635" t="str">
        <f>INDEX(products!$A$1:$G$49,MATCH(orders!$D635,products!$A$1:$A$49,0), MATCH(orders!J$1,  products!$A$1:$G$1,0))</f>
        <v>L</v>
      </c>
      <c r="K635" s="4">
        <f>INDEX(products!$A$1:$G$49,MATCH(orders!$D635,products!$A$1:$A$49,0), MATCH(orders!K$1,  products!$A$1:$G$1,0))</f>
        <v>1</v>
      </c>
      <c r="L635" s="7">
        <f>INDEX(products!$A$1:$G$49,MATCH(orders!$D635,products!$A$1:$A$49,0), MATCH(orders!L$1,  products!$A$1:$G$1,0))</f>
        <v>11.95</v>
      </c>
      <c r="M635" s="7">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 MATCH(orders!I$1,  products!$A$1:$G$1,0))</f>
        <v>Lib</v>
      </c>
      <c r="J636" t="str">
        <f>INDEX(products!$A$1:$G$49,MATCH(orders!$D636,products!$A$1:$A$49,0), MATCH(orders!J$1,  products!$A$1:$G$1,0))</f>
        <v>M</v>
      </c>
      <c r="K636" s="4">
        <f>INDEX(products!$A$1:$G$49,MATCH(orders!$D636,products!$A$1:$A$49,0), MATCH(orders!K$1,  products!$A$1:$G$1,0))</f>
        <v>1</v>
      </c>
      <c r="L636" s="7">
        <f>INDEX(products!$A$1:$G$49,MATCH(orders!$D636,products!$A$1:$A$49,0), MATCH(orders!L$1,  products!$A$1:$G$1,0))</f>
        <v>14.55</v>
      </c>
      <c r="M636" s="7">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 MATCH(orders!I$1,  products!$A$1:$G$1,0))</f>
        <v>Exc</v>
      </c>
      <c r="J637" t="str">
        <f>INDEX(products!$A$1:$G$49,MATCH(orders!$D637,products!$A$1:$A$49,0), MATCH(orders!J$1,  products!$A$1:$G$1,0))</f>
        <v>L</v>
      </c>
      <c r="K637" s="4">
        <f>INDEX(products!$A$1:$G$49,MATCH(orders!$D637,products!$A$1:$A$49,0), MATCH(orders!K$1,  products!$A$1:$G$1,0))</f>
        <v>0.5</v>
      </c>
      <c r="L637" s="7">
        <f>INDEX(products!$A$1:$G$49,MATCH(orders!$D637,products!$A$1:$A$49,0), MATCH(orders!L$1,  products!$A$1:$G$1,0))</f>
        <v>8.91</v>
      </c>
      <c r="M637" s="7">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 MATCH(orders!I$1,  products!$A$1:$G$1,0))</f>
        <v>Lib</v>
      </c>
      <c r="J638" t="str">
        <f>INDEX(products!$A$1:$G$49,MATCH(orders!$D638,products!$A$1:$A$49,0), MATCH(orders!J$1,  products!$A$1:$G$1,0))</f>
        <v>L</v>
      </c>
      <c r="K638" s="4">
        <f>INDEX(products!$A$1:$G$49,MATCH(orders!$D638,products!$A$1:$A$49,0), MATCH(orders!K$1,  products!$A$1:$G$1,0))</f>
        <v>1</v>
      </c>
      <c r="L638" s="7">
        <f>INDEX(products!$A$1:$G$49,MATCH(orders!$D638,products!$A$1:$A$49,0), MATCH(orders!L$1,  products!$A$1:$G$1,0))</f>
        <v>15.85</v>
      </c>
      <c r="M638" s="7">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 MATCH(orders!I$1,  products!$A$1:$G$1,0))</f>
        <v>Exc</v>
      </c>
      <c r="J639" t="str">
        <f>INDEX(products!$A$1:$G$49,MATCH(orders!$D639,products!$A$1:$A$49,0), MATCH(orders!J$1,  products!$A$1:$G$1,0))</f>
        <v>M</v>
      </c>
      <c r="K639" s="4">
        <f>INDEX(products!$A$1:$G$49,MATCH(orders!$D639,products!$A$1:$A$49,0), MATCH(orders!K$1,  products!$A$1:$G$1,0))</f>
        <v>2.5</v>
      </c>
      <c r="L639" s="7">
        <f>INDEX(products!$A$1:$G$49,MATCH(orders!$D639,products!$A$1:$A$49,0), MATCH(orders!L$1,  products!$A$1:$G$1,0))</f>
        <v>31.624999999999996</v>
      </c>
      <c r="M639" s="7">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 MATCH(orders!I$1,  products!$A$1:$G$1,0))</f>
        <v>Ara</v>
      </c>
      <c r="J640" t="str">
        <f>INDEX(products!$A$1:$G$49,MATCH(orders!$D640,products!$A$1:$A$49,0), MATCH(orders!J$1,  products!$A$1:$G$1,0))</f>
        <v>M</v>
      </c>
      <c r="K640" s="4">
        <f>INDEX(products!$A$1:$G$49,MATCH(orders!$D640,products!$A$1:$A$49,0), MATCH(orders!K$1,  products!$A$1:$G$1,0))</f>
        <v>2.5</v>
      </c>
      <c r="L640" s="7">
        <f>INDEX(products!$A$1:$G$49,MATCH(orders!$D640,products!$A$1:$A$49,0), MATCH(orders!L$1,  products!$A$1:$G$1,0))</f>
        <v>25.874999999999996</v>
      </c>
      <c r="M640" s="7">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 MATCH(orders!I$1,  products!$A$1:$G$1,0))</f>
        <v>Lib</v>
      </c>
      <c r="J641" t="str">
        <f>INDEX(products!$A$1:$G$49,MATCH(orders!$D641,products!$A$1:$A$49,0), MATCH(orders!J$1,  products!$A$1:$G$1,0))</f>
        <v>D</v>
      </c>
      <c r="K641" s="4">
        <f>INDEX(products!$A$1:$G$49,MATCH(orders!$D641,products!$A$1:$A$49,0), MATCH(orders!K$1,  products!$A$1:$G$1,0))</f>
        <v>0.2</v>
      </c>
      <c r="L641" s="7">
        <f>INDEX(products!$A$1:$G$49,MATCH(orders!$D641,products!$A$1:$A$49,0), MATCH(orders!L$1,  products!$A$1:$G$1,0))</f>
        <v>3.8849999999999998</v>
      </c>
      <c r="M641" s="7">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 MATCH(orders!I$1,  products!$A$1:$G$1,0))</f>
        <v>Rob</v>
      </c>
      <c r="J642" t="str">
        <f>INDEX(products!$A$1:$G$49,MATCH(orders!$D642,products!$A$1:$A$49,0), MATCH(orders!J$1,  products!$A$1:$G$1,0))</f>
        <v>L</v>
      </c>
      <c r="K642" s="4">
        <f>INDEX(products!$A$1:$G$49,MATCH(orders!$D642,products!$A$1:$A$49,0), MATCH(orders!K$1,  products!$A$1:$G$1,0))</f>
        <v>2.5</v>
      </c>
      <c r="L642" s="7">
        <f>INDEX(products!$A$1:$G$49,MATCH(orders!$D642,products!$A$1:$A$49,0), MATCH(orders!L$1,  products!$A$1:$G$1,0))</f>
        <v>27.484999999999996</v>
      </c>
      <c r="M642" s="7">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 MATCH(orders!I$1,  products!$A$1:$G$1,0))</f>
        <v>Rob</v>
      </c>
      <c r="J643" t="str">
        <f>INDEX(products!$A$1:$G$49,MATCH(orders!$D643,products!$A$1:$A$49,0), MATCH(orders!J$1,  products!$A$1:$G$1,0))</f>
        <v>L</v>
      </c>
      <c r="K643" s="4">
        <f>INDEX(products!$A$1:$G$49,MATCH(orders!$D643,products!$A$1:$A$49,0), MATCH(orders!K$1,  products!$A$1:$G$1,0))</f>
        <v>1</v>
      </c>
      <c r="L643" s="7">
        <f>INDEX(products!$A$1:$G$49,MATCH(orders!$D643,products!$A$1:$A$49,0), MATCH(orders!L$1,  products!$A$1:$G$1,0))</f>
        <v>11.95</v>
      </c>
      <c r="M643" s="7">
        <f t="shared" ref="M643:M706" si="30">L643*E643</f>
        <v>35.849999999999994</v>
      </c>
      <c r="N643" t="str">
        <f t="shared" ref="N643:N706" si="31">IF(I643="Rob","Robusta", IF(I643="Exc","Excelsa", IF(I643="Ara", "Arabica", IF(I643="Lib", "Liberica", ""))))</f>
        <v>Robusta</v>
      </c>
      <c r="O643" t="str">
        <f t="shared" ref="O643:O706" si="32">IF(J643="M", "Medium", IF(J643="L", "Light",IF(J643="D","Dark","")))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 MATCH(orders!I$1,  products!$A$1:$G$1,0))</f>
        <v>Exc</v>
      </c>
      <c r="J644" t="str">
        <f>INDEX(products!$A$1:$G$49,MATCH(orders!$D644,products!$A$1:$A$49,0), MATCH(orders!J$1,  products!$A$1:$G$1,0))</f>
        <v>M</v>
      </c>
      <c r="K644" s="4">
        <f>INDEX(products!$A$1:$G$49,MATCH(orders!$D644,products!$A$1:$A$49,0), MATCH(orders!K$1,  products!$A$1:$G$1,0))</f>
        <v>0.2</v>
      </c>
      <c r="L644" s="7">
        <f>INDEX(products!$A$1:$G$49,MATCH(orders!$D644,products!$A$1:$A$49,0), MATCH(orders!L$1,  products!$A$1:$G$1,0))</f>
        <v>4.125</v>
      </c>
      <c r="M644" s="7">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 MATCH(orders!I$1,  products!$A$1:$G$1,0))</f>
        <v>Exc</v>
      </c>
      <c r="J645" t="str">
        <f>INDEX(products!$A$1:$G$49,MATCH(orders!$D645,products!$A$1:$A$49,0), MATCH(orders!J$1,  products!$A$1:$G$1,0))</f>
        <v>L</v>
      </c>
      <c r="K645" s="4">
        <f>INDEX(products!$A$1:$G$49,MATCH(orders!$D645,products!$A$1:$A$49,0), MATCH(orders!K$1,  products!$A$1:$G$1,0))</f>
        <v>2.5</v>
      </c>
      <c r="L645" s="7">
        <f>INDEX(products!$A$1:$G$49,MATCH(orders!$D645,products!$A$1:$A$49,0), MATCH(orders!L$1,  products!$A$1:$G$1,0))</f>
        <v>34.154999999999994</v>
      </c>
      <c r="M645" s="7">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 MATCH(orders!I$1,  products!$A$1:$G$1,0))</f>
        <v>Rob</v>
      </c>
      <c r="J646" t="str">
        <f>INDEX(products!$A$1:$G$49,MATCH(orders!$D646,products!$A$1:$A$49,0), MATCH(orders!J$1,  products!$A$1:$G$1,0))</f>
        <v>D</v>
      </c>
      <c r="K646" s="4">
        <f>INDEX(products!$A$1:$G$49,MATCH(orders!$D646,products!$A$1:$A$49,0), MATCH(orders!K$1,  products!$A$1:$G$1,0))</f>
        <v>2.5</v>
      </c>
      <c r="L646" s="7">
        <f>INDEX(products!$A$1:$G$49,MATCH(orders!$D646,products!$A$1:$A$49,0), MATCH(orders!L$1,  products!$A$1:$G$1,0))</f>
        <v>20.584999999999997</v>
      </c>
      <c r="M646" s="7">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 MATCH(orders!I$1,  products!$A$1:$G$1,0))</f>
        <v>Ara</v>
      </c>
      <c r="J647" t="str">
        <f>INDEX(products!$A$1:$G$49,MATCH(orders!$D647,products!$A$1:$A$49,0), MATCH(orders!J$1,  products!$A$1:$G$1,0))</f>
        <v>D</v>
      </c>
      <c r="K647" s="4">
        <f>INDEX(products!$A$1:$G$49,MATCH(orders!$D647,products!$A$1:$A$49,0), MATCH(orders!K$1,  products!$A$1:$G$1,0))</f>
        <v>2.5</v>
      </c>
      <c r="L647" s="7">
        <f>INDEX(products!$A$1:$G$49,MATCH(orders!$D647,products!$A$1:$A$49,0), MATCH(orders!L$1,  products!$A$1:$G$1,0))</f>
        <v>22.884999999999998</v>
      </c>
      <c r="M647" s="7">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 MATCH(orders!I$1,  products!$A$1:$G$1,0))</f>
        <v>Ara</v>
      </c>
      <c r="J648" t="str">
        <f>INDEX(products!$A$1:$G$49,MATCH(orders!$D648,products!$A$1:$A$49,0), MATCH(orders!J$1,  products!$A$1:$G$1,0))</f>
        <v>D</v>
      </c>
      <c r="K648" s="4">
        <f>INDEX(products!$A$1:$G$49,MATCH(orders!$D648,products!$A$1:$A$49,0), MATCH(orders!K$1,  products!$A$1:$G$1,0))</f>
        <v>1</v>
      </c>
      <c r="L648" s="7">
        <f>INDEX(products!$A$1:$G$49,MATCH(orders!$D648,products!$A$1:$A$49,0), MATCH(orders!L$1,  products!$A$1:$G$1,0))</f>
        <v>9.9499999999999993</v>
      </c>
      <c r="M648" s="7">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 MATCH(orders!I$1,  products!$A$1:$G$1,0))</f>
        <v>Lib</v>
      </c>
      <c r="J649" t="str">
        <f>INDEX(products!$A$1:$G$49,MATCH(orders!$D649,products!$A$1:$A$49,0), MATCH(orders!J$1,  products!$A$1:$G$1,0))</f>
        <v>L</v>
      </c>
      <c r="K649" s="4">
        <f>INDEX(products!$A$1:$G$49,MATCH(orders!$D649,products!$A$1:$A$49,0), MATCH(orders!K$1,  products!$A$1:$G$1,0))</f>
        <v>0.5</v>
      </c>
      <c r="L649" s="7">
        <f>INDEX(products!$A$1:$G$49,MATCH(orders!$D649,products!$A$1:$A$49,0), MATCH(orders!L$1,  products!$A$1:$G$1,0))</f>
        <v>9.51</v>
      </c>
      <c r="M649" s="7">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 MATCH(orders!I$1,  products!$A$1:$G$1,0))</f>
        <v>Rob</v>
      </c>
      <c r="J650" t="str">
        <f>INDEX(products!$A$1:$G$49,MATCH(orders!$D650,products!$A$1:$A$49,0), MATCH(orders!J$1,  products!$A$1:$G$1,0))</f>
        <v>D</v>
      </c>
      <c r="K650" s="4">
        <f>INDEX(products!$A$1:$G$49,MATCH(orders!$D650,products!$A$1:$A$49,0), MATCH(orders!K$1,  products!$A$1:$G$1,0))</f>
        <v>0.2</v>
      </c>
      <c r="L650" s="7">
        <f>INDEX(products!$A$1:$G$49,MATCH(orders!$D650,products!$A$1:$A$49,0), MATCH(orders!L$1,  products!$A$1:$G$1,0))</f>
        <v>2.6849999999999996</v>
      </c>
      <c r="M650" s="7">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 MATCH(orders!I$1,  products!$A$1:$G$1,0))</f>
        <v>Lib</v>
      </c>
      <c r="J651" t="str">
        <f>INDEX(products!$A$1:$G$49,MATCH(orders!$D651,products!$A$1:$A$49,0), MATCH(orders!J$1,  products!$A$1:$G$1,0))</f>
        <v>L</v>
      </c>
      <c r="K651" s="4">
        <f>INDEX(products!$A$1:$G$49,MATCH(orders!$D651,products!$A$1:$A$49,0), MATCH(orders!K$1,  products!$A$1:$G$1,0))</f>
        <v>1</v>
      </c>
      <c r="L651" s="7">
        <f>INDEX(products!$A$1:$G$49,MATCH(orders!$D651,products!$A$1:$A$49,0), MATCH(orders!L$1,  products!$A$1:$G$1,0))</f>
        <v>15.85</v>
      </c>
      <c r="M651" s="7">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 MATCH(orders!I$1,  products!$A$1:$G$1,0))</f>
        <v>Rob</v>
      </c>
      <c r="J652" t="str">
        <f>INDEX(products!$A$1:$G$49,MATCH(orders!$D652,products!$A$1:$A$49,0), MATCH(orders!J$1,  products!$A$1:$G$1,0))</f>
        <v>D</v>
      </c>
      <c r="K652" s="4">
        <f>INDEX(products!$A$1:$G$49,MATCH(orders!$D652,products!$A$1:$A$49,0), MATCH(orders!K$1,  products!$A$1:$G$1,0))</f>
        <v>0.5</v>
      </c>
      <c r="L652" s="7">
        <f>INDEX(products!$A$1:$G$49,MATCH(orders!$D652,products!$A$1:$A$49,0), MATCH(orders!L$1,  products!$A$1:$G$1,0))</f>
        <v>5.3699999999999992</v>
      </c>
      <c r="M652" s="7">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 MATCH(orders!I$1,  products!$A$1:$G$1,0))</f>
        <v>Rob</v>
      </c>
      <c r="J653" t="str">
        <f>INDEX(products!$A$1:$G$49,MATCH(orders!$D653,products!$A$1:$A$49,0), MATCH(orders!J$1,  products!$A$1:$G$1,0))</f>
        <v>L</v>
      </c>
      <c r="K653" s="4">
        <f>INDEX(products!$A$1:$G$49,MATCH(orders!$D653,products!$A$1:$A$49,0), MATCH(orders!K$1,  products!$A$1:$G$1,0))</f>
        <v>1</v>
      </c>
      <c r="L653" s="7">
        <f>INDEX(products!$A$1:$G$49,MATCH(orders!$D653,products!$A$1:$A$49,0), MATCH(orders!L$1,  products!$A$1:$G$1,0))</f>
        <v>11.95</v>
      </c>
      <c r="M653" s="7">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 MATCH(orders!I$1,  products!$A$1:$G$1,0))</f>
        <v>Lib</v>
      </c>
      <c r="J654" t="str">
        <f>INDEX(products!$A$1:$G$49,MATCH(orders!$D654,products!$A$1:$A$49,0), MATCH(orders!J$1,  products!$A$1:$G$1,0))</f>
        <v>L</v>
      </c>
      <c r="K654" s="4">
        <f>INDEX(products!$A$1:$G$49,MATCH(orders!$D654,products!$A$1:$A$49,0), MATCH(orders!K$1,  products!$A$1:$G$1,0))</f>
        <v>1</v>
      </c>
      <c r="L654" s="7">
        <f>INDEX(products!$A$1:$G$49,MATCH(orders!$D654,products!$A$1:$A$49,0), MATCH(orders!L$1,  products!$A$1:$G$1,0))</f>
        <v>15.85</v>
      </c>
      <c r="M654" s="7">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 MATCH(orders!I$1,  products!$A$1:$G$1,0))</f>
        <v>Ara</v>
      </c>
      <c r="J655" t="str">
        <f>INDEX(products!$A$1:$G$49,MATCH(orders!$D655,products!$A$1:$A$49,0), MATCH(orders!J$1,  products!$A$1:$G$1,0))</f>
        <v>M</v>
      </c>
      <c r="K655" s="4">
        <f>INDEX(products!$A$1:$G$49,MATCH(orders!$D655,products!$A$1:$A$49,0), MATCH(orders!K$1,  products!$A$1:$G$1,0))</f>
        <v>2.5</v>
      </c>
      <c r="L655" s="7">
        <f>INDEX(products!$A$1:$G$49,MATCH(orders!$D655,products!$A$1:$A$49,0), MATCH(orders!L$1,  products!$A$1:$G$1,0))</f>
        <v>25.874999999999996</v>
      </c>
      <c r="M655" s="7">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 MATCH(orders!I$1,  products!$A$1:$G$1,0))</f>
        <v>Ara</v>
      </c>
      <c r="J656" t="str">
        <f>INDEX(products!$A$1:$G$49,MATCH(orders!$D656,products!$A$1:$A$49,0), MATCH(orders!J$1,  products!$A$1:$G$1,0))</f>
        <v>D</v>
      </c>
      <c r="K656" s="4">
        <f>INDEX(products!$A$1:$G$49,MATCH(orders!$D656,products!$A$1:$A$49,0), MATCH(orders!K$1,  products!$A$1:$G$1,0))</f>
        <v>2.5</v>
      </c>
      <c r="L656" s="7">
        <f>INDEX(products!$A$1:$G$49,MATCH(orders!$D656,products!$A$1:$A$49,0), MATCH(orders!L$1,  products!$A$1:$G$1,0))</f>
        <v>22.884999999999998</v>
      </c>
      <c r="M656" s="7">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 MATCH(orders!I$1,  products!$A$1:$G$1,0))</f>
        <v>Rob</v>
      </c>
      <c r="J657" t="str">
        <f>INDEX(products!$A$1:$G$49,MATCH(orders!$D657,products!$A$1:$A$49,0), MATCH(orders!J$1,  products!$A$1:$G$1,0))</f>
        <v>M</v>
      </c>
      <c r="K657" s="4">
        <f>INDEX(products!$A$1:$G$49,MATCH(orders!$D657,products!$A$1:$A$49,0), MATCH(orders!K$1,  products!$A$1:$G$1,0))</f>
        <v>2.5</v>
      </c>
      <c r="L657" s="7">
        <f>INDEX(products!$A$1:$G$49,MATCH(orders!$D657,products!$A$1:$A$49,0), MATCH(orders!L$1,  products!$A$1:$G$1,0))</f>
        <v>22.884999999999998</v>
      </c>
      <c r="M657" s="7">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 MATCH(orders!I$1,  products!$A$1:$G$1,0))</f>
        <v>Lib</v>
      </c>
      <c r="J658" t="str">
        <f>INDEX(products!$A$1:$G$49,MATCH(orders!$D658,products!$A$1:$A$49,0), MATCH(orders!J$1,  products!$A$1:$G$1,0))</f>
        <v>D</v>
      </c>
      <c r="K658" s="4">
        <f>INDEX(products!$A$1:$G$49,MATCH(orders!$D658,products!$A$1:$A$49,0), MATCH(orders!K$1,  products!$A$1:$G$1,0))</f>
        <v>1</v>
      </c>
      <c r="L658" s="7">
        <f>INDEX(products!$A$1:$G$49,MATCH(orders!$D658,products!$A$1:$A$49,0), MATCH(orders!L$1,  products!$A$1:$G$1,0))</f>
        <v>12.95</v>
      </c>
      <c r="M658" s="7">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 MATCH(orders!I$1,  products!$A$1:$G$1,0))</f>
        <v>Ara</v>
      </c>
      <c r="J659" t="str">
        <f>INDEX(products!$A$1:$G$49,MATCH(orders!$D659,products!$A$1:$A$49,0), MATCH(orders!J$1,  products!$A$1:$G$1,0))</f>
        <v>M</v>
      </c>
      <c r="K659" s="4">
        <f>INDEX(products!$A$1:$G$49,MATCH(orders!$D659,products!$A$1:$A$49,0), MATCH(orders!K$1,  products!$A$1:$G$1,0))</f>
        <v>0.5</v>
      </c>
      <c r="L659" s="7">
        <f>INDEX(products!$A$1:$G$49,MATCH(orders!$D659,products!$A$1:$A$49,0), MATCH(orders!L$1,  products!$A$1:$G$1,0))</f>
        <v>6.75</v>
      </c>
      <c r="M659" s="7">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 MATCH(orders!I$1,  products!$A$1:$G$1,0))</f>
        <v>Exc</v>
      </c>
      <c r="J660" t="str">
        <f>INDEX(products!$A$1:$G$49,MATCH(orders!$D660,products!$A$1:$A$49,0), MATCH(orders!J$1,  products!$A$1:$G$1,0))</f>
        <v>M</v>
      </c>
      <c r="K660" s="4">
        <f>INDEX(products!$A$1:$G$49,MATCH(orders!$D660,products!$A$1:$A$49,0), MATCH(orders!K$1,  products!$A$1:$G$1,0))</f>
        <v>0.5</v>
      </c>
      <c r="L660" s="7">
        <f>INDEX(products!$A$1:$G$49,MATCH(orders!$D660,products!$A$1:$A$49,0), MATCH(orders!L$1,  products!$A$1:$G$1,0))</f>
        <v>8.25</v>
      </c>
      <c r="M660" s="7">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 MATCH(orders!I$1,  products!$A$1:$G$1,0))</f>
        <v>Ara</v>
      </c>
      <c r="J661" t="str">
        <f>INDEX(products!$A$1:$G$49,MATCH(orders!$D661,products!$A$1:$A$49,0), MATCH(orders!J$1,  products!$A$1:$G$1,0))</f>
        <v>D</v>
      </c>
      <c r="K661" s="4">
        <f>INDEX(products!$A$1:$G$49,MATCH(orders!$D661,products!$A$1:$A$49,0), MATCH(orders!K$1,  products!$A$1:$G$1,0))</f>
        <v>2.5</v>
      </c>
      <c r="L661" s="7">
        <f>INDEX(products!$A$1:$G$49,MATCH(orders!$D661,products!$A$1:$A$49,0), MATCH(orders!L$1,  products!$A$1:$G$1,0))</f>
        <v>22.884999999999998</v>
      </c>
      <c r="M661" s="7">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 MATCH(orders!I$1,  products!$A$1:$G$1,0))</f>
        <v>Exc</v>
      </c>
      <c r="J662" t="str">
        <f>INDEX(products!$A$1:$G$49,MATCH(orders!$D662,products!$A$1:$A$49,0), MATCH(orders!J$1,  products!$A$1:$G$1,0))</f>
        <v>L</v>
      </c>
      <c r="K662" s="4">
        <f>INDEX(products!$A$1:$G$49,MATCH(orders!$D662,products!$A$1:$A$49,0), MATCH(orders!K$1,  products!$A$1:$G$1,0))</f>
        <v>0.5</v>
      </c>
      <c r="L662" s="7">
        <f>INDEX(products!$A$1:$G$49,MATCH(orders!$D662,products!$A$1:$A$49,0), MATCH(orders!L$1,  products!$A$1:$G$1,0))</f>
        <v>8.91</v>
      </c>
      <c r="M662" s="7">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 MATCH(orders!I$1,  products!$A$1:$G$1,0))</f>
        <v>Ara</v>
      </c>
      <c r="J663" t="str">
        <f>INDEX(products!$A$1:$G$49,MATCH(orders!$D663,products!$A$1:$A$49,0), MATCH(orders!J$1,  products!$A$1:$G$1,0))</f>
        <v>M</v>
      </c>
      <c r="K663" s="4">
        <f>INDEX(products!$A$1:$G$49,MATCH(orders!$D663,products!$A$1:$A$49,0), MATCH(orders!K$1,  products!$A$1:$G$1,0))</f>
        <v>0.2</v>
      </c>
      <c r="L663" s="7">
        <f>INDEX(products!$A$1:$G$49,MATCH(orders!$D663,products!$A$1:$A$49,0), MATCH(orders!L$1,  products!$A$1:$G$1,0))</f>
        <v>3.375</v>
      </c>
      <c r="M663" s="7">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 MATCH(orders!I$1,  products!$A$1:$G$1,0))</f>
        <v>Lib</v>
      </c>
      <c r="J664" t="str">
        <f>INDEX(products!$A$1:$G$49,MATCH(orders!$D664,products!$A$1:$A$49,0), MATCH(orders!J$1,  products!$A$1:$G$1,0))</f>
        <v>D</v>
      </c>
      <c r="K664" s="4">
        <f>INDEX(products!$A$1:$G$49,MATCH(orders!$D664,products!$A$1:$A$49,0), MATCH(orders!K$1,  products!$A$1:$G$1,0))</f>
        <v>2.5</v>
      </c>
      <c r="L664" s="7">
        <f>INDEX(products!$A$1:$G$49,MATCH(orders!$D664,products!$A$1:$A$49,0), MATCH(orders!L$1,  products!$A$1:$G$1,0))</f>
        <v>29.784999999999997</v>
      </c>
      <c r="M664" s="7">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 MATCH(orders!I$1,  products!$A$1:$G$1,0))</f>
        <v>Ara</v>
      </c>
      <c r="J665" t="str">
        <f>INDEX(products!$A$1:$G$49,MATCH(orders!$D665,products!$A$1:$A$49,0), MATCH(orders!J$1,  products!$A$1:$G$1,0))</f>
        <v>M</v>
      </c>
      <c r="K665" s="4">
        <f>INDEX(products!$A$1:$G$49,MATCH(orders!$D665,products!$A$1:$A$49,0), MATCH(orders!K$1,  products!$A$1:$G$1,0))</f>
        <v>1</v>
      </c>
      <c r="L665" s="7">
        <f>INDEX(products!$A$1:$G$49,MATCH(orders!$D665,products!$A$1:$A$49,0), MATCH(orders!L$1,  products!$A$1:$G$1,0))</f>
        <v>11.25</v>
      </c>
      <c r="M665" s="7">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 MATCH(orders!I$1,  products!$A$1:$G$1,0))</f>
        <v>Exc</v>
      </c>
      <c r="J666" t="str">
        <f>INDEX(products!$A$1:$G$49,MATCH(orders!$D666,products!$A$1:$A$49,0), MATCH(orders!J$1,  products!$A$1:$G$1,0))</f>
        <v>D</v>
      </c>
      <c r="K666" s="4">
        <f>INDEX(products!$A$1:$G$49,MATCH(orders!$D666,products!$A$1:$A$49,0), MATCH(orders!K$1,  products!$A$1:$G$1,0))</f>
        <v>1</v>
      </c>
      <c r="L666" s="7">
        <f>INDEX(products!$A$1:$G$49,MATCH(orders!$D666,products!$A$1:$A$49,0), MATCH(orders!L$1,  products!$A$1:$G$1,0))</f>
        <v>12.15</v>
      </c>
      <c r="M666" s="7">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 MATCH(orders!I$1,  products!$A$1:$G$1,0))</f>
        <v>Lib</v>
      </c>
      <c r="J667" t="str">
        <f>INDEX(products!$A$1:$G$49,MATCH(orders!$D667,products!$A$1:$A$49,0), MATCH(orders!J$1,  products!$A$1:$G$1,0))</f>
        <v>D</v>
      </c>
      <c r="K667" s="4">
        <f>INDEX(products!$A$1:$G$49,MATCH(orders!$D667,products!$A$1:$A$49,0), MATCH(orders!K$1,  products!$A$1:$G$1,0))</f>
        <v>0.2</v>
      </c>
      <c r="L667" s="7">
        <f>INDEX(products!$A$1:$G$49,MATCH(orders!$D667,products!$A$1:$A$49,0), MATCH(orders!L$1,  products!$A$1:$G$1,0))</f>
        <v>3.8849999999999998</v>
      </c>
      <c r="M667" s="7">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 MATCH(orders!I$1,  products!$A$1:$G$1,0))</f>
        <v>Ara</v>
      </c>
      <c r="J668" t="str">
        <f>INDEX(products!$A$1:$G$49,MATCH(orders!$D668,products!$A$1:$A$49,0), MATCH(orders!J$1,  products!$A$1:$G$1,0))</f>
        <v>D</v>
      </c>
      <c r="K668" s="4">
        <f>INDEX(products!$A$1:$G$49,MATCH(orders!$D668,products!$A$1:$A$49,0), MATCH(orders!K$1,  products!$A$1:$G$1,0))</f>
        <v>2.5</v>
      </c>
      <c r="L668" s="7">
        <f>INDEX(products!$A$1:$G$49,MATCH(orders!$D668,products!$A$1:$A$49,0), MATCH(orders!L$1,  products!$A$1:$G$1,0))</f>
        <v>22.884999999999998</v>
      </c>
      <c r="M668" s="7">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 MATCH(orders!I$1,  products!$A$1:$G$1,0))</f>
        <v>Ara</v>
      </c>
      <c r="J669" t="str">
        <f>INDEX(products!$A$1:$G$49,MATCH(orders!$D669,products!$A$1:$A$49,0), MATCH(orders!J$1,  products!$A$1:$G$1,0))</f>
        <v>D</v>
      </c>
      <c r="K669" s="4">
        <f>INDEX(products!$A$1:$G$49,MATCH(orders!$D669,products!$A$1:$A$49,0), MATCH(orders!K$1,  products!$A$1:$G$1,0))</f>
        <v>1</v>
      </c>
      <c r="L669" s="7">
        <f>INDEX(products!$A$1:$G$49,MATCH(orders!$D669,products!$A$1:$A$49,0), MATCH(orders!L$1,  products!$A$1:$G$1,0))</f>
        <v>9.9499999999999993</v>
      </c>
      <c r="M669" s="7">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 MATCH(orders!I$1,  products!$A$1:$G$1,0))</f>
        <v>Rob</v>
      </c>
      <c r="J670" t="str">
        <f>INDEX(products!$A$1:$G$49,MATCH(orders!$D670,products!$A$1:$A$49,0), MATCH(orders!J$1,  products!$A$1:$G$1,0))</f>
        <v>L</v>
      </c>
      <c r="K670" s="4">
        <f>INDEX(products!$A$1:$G$49,MATCH(orders!$D670,products!$A$1:$A$49,0), MATCH(orders!K$1,  products!$A$1:$G$1,0))</f>
        <v>2.5</v>
      </c>
      <c r="L670" s="7">
        <f>INDEX(products!$A$1:$G$49,MATCH(orders!$D670,products!$A$1:$A$49,0), MATCH(orders!L$1,  products!$A$1:$G$1,0))</f>
        <v>27.484999999999996</v>
      </c>
      <c r="M670" s="7">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 MATCH(orders!I$1,  products!$A$1:$G$1,0))</f>
        <v>Lib</v>
      </c>
      <c r="J671" t="str">
        <f>INDEX(products!$A$1:$G$49,MATCH(orders!$D671,products!$A$1:$A$49,0), MATCH(orders!J$1,  products!$A$1:$G$1,0))</f>
        <v>M</v>
      </c>
      <c r="K671" s="4">
        <f>INDEX(products!$A$1:$G$49,MATCH(orders!$D671,products!$A$1:$A$49,0), MATCH(orders!K$1,  products!$A$1:$G$1,0))</f>
        <v>2.5</v>
      </c>
      <c r="L671" s="7">
        <f>INDEX(products!$A$1:$G$49,MATCH(orders!$D671,products!$A$1:$A$49,0), MATCH(orders!L$1,  products!$A$1:$G$1,0))</f>
        <v>33.464999999999996</v>
      </c>
      <c r="M671" s="7">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 MATCH(orders!I$1,  products!$A$1:$G$1,0))</f>
        <v>Lib</v>
      </c>
      <c r="J672" t="str">
        <f>INDEX(products!$A$1:$G$49,MATCH(orders!$D672,products!$A$1:$A$49,0), MATCH(orders!J$1,  products!$A$1:$G$1,0))</f>
        <v>M</v>
      </c>
      <c r="K672" s="4">
        <f>INDEX(products!$A$1:$G$49,MATCH(orders!$D672,products!$A$1:$A$49,0), MATCH(orders!K$1,  products!$A$1:$G$1,0))</f>
        <v>0.2</v>
      </c>
      <c r="L672" s="7">
        <f>INDEX(products!$A$1:$G$49,MATCH(orders!$D672,products!$A$1:$A$49,0), MATCH(orders!L$1,  products!$A$1:$G$1,0))</f>
        <v>4.3650000000000002</v>
      </c>
      <c r="M672" s="7">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 MATCH(orders!I$1,  products!$A$1:$G$1,0))</f>
        <v>Rob</v>
      </c>
      <c r="J673" t="str">
        <f>INDEX(products!$A$1:$G$49,MATCH(orders!$D673,products!$A$1:$A$49,0), MATCH(orders!J$1,  products!$A$1:$G$1,0))</f>
        <v>L</v>
      </c>
      <c r="K673" s="4">
        <f>INDEX(products!$A$1:$G$49,MATCH(orders!$D673,products!$A$1:$A$49,0), MATCH(orders!K$1,  products!$A$1:$G$1,0))</f>
        <v>1</v>
      </c>
      <c r="L673" s="7">
        <f>INDEX(products!$A$1:$G$49,MATCH(orders!$D673,products!$A$1:$A$49,0), MATCH(orders!L$1,  products!$A$1:$G$1,0))</f>
        <v>11.95</v>
      </c>
      <c r="M673" s="7">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 MATCH(orders!I$1,  products!$A$1:$G$1,0))</f>
        <v>Lib</v>
      </c>
      <c r="J674" t="str">
        <f>INDEX(products!$A$1:$G$49,MATCH(orders!$D674,products!$A$1:$A$49,0), MATCH(orders!J$1,  products!$A$1:$G$1,0))</f>
        <v>M</v>
      </c>
      <c r="K674" s="4">
        <f>INDEX(products!$A$1:$G$49,MATCH(orders!$D674,products!$A$1:$A$49,0), MATCH(orders!K$1,  products!$A$1:$G$1,0))</f>
        <v>0.5</v>
      </c>
      <c r="L674" s="7">
        <f>INDEX(products!$A$1:$G$49,MATCH(orders!$D674,products!$A$1:$A$49,0), MATCH(orders!L$1,  products!$A$1:$G$1,0))</f>
        <v>8.73</v>
      </c>
      <c r="M674" s="7">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 MATCH(orders!I$1,  products!$A$1:$G$1,0))</f>
        <v>Exc</v>
      </c>
      <c r="J675" t="str">
        <f>INDEX(products!$A$1:$G$49,MATCH(orders!$D675,products!$A$1:$A$49,0), MATCH(orders!J$1,  products!$A$1:$G$1,0))</f>
        <v>M</v>
      </c>
      <c r="K675" s="4">
        <f>INDEX(products!$A$1:$G$49,MATCH(orders!$D675,products!$A$1:$A$49,0), MATCH(orders!K$1,  products!$A$1:$G$1,0))</f>
        <v>1</v>
      </c>
      <c r="L675" s="7">
        <f>INDEX(products!$A$1:$G$49,MATCH(orders!$D675,products!$A$1:$A$49,0), MATCH(orders!L$1,  products!$A$1:$G$1,0))</f>
        <v>13.75</v>
      </c>
      <c r="M675" s="7">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 MATCH(orders!I$1,  products!$A$1:$G$1,0))</f>
        <v>Ara</v>
      </c>
      <c r="J676" t="str">
        <f>INDEX(products!$A$1:$G$49,MATCH(orders!$D676,products!$A$1:$A$49,0), MATCH(orders!J$1,  products!$A$1:$G$1,0))</f>
        <v>L</v>
      </c>
      <c r="K676" s="4">
        <f>INDEX(products!$A$1:$G$49,MATCH(orders!$D676,products!$A$1:$A$49,0), MATCH(orders!K$1,  products!$A$1:$G$1,0))</f>
        <v>2.5</v>
      </c>
      <c r="L676" s="7">
        <f>INDEX(products!$A$1:$G$49,MATCH(orders!$D676,products!$A$1:$A$49,0), MATCH(orders!L$1,  products!$A$1:$G$1,0))</f>
        <v>29.784999999999997</v>
      </c>
      <c r="M676" s="7">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 MATCH(orders!I$1,  products!$A$1:$G$1,0))</f>
        <v>Lib</v>
      </c>
      <c r="J677" t="str">
        <f>INDEX(products!$A$1:$G$49,MATCH(orders!$D677,products!$A$1:$A$49,0), MATCH(orders!J$1,  products!$A$1:$G$1,0))</f>
        <v>D</v>
      </c>
      <c r="K677" s="4">
        <f>INDEX(products!$A$1:$G$49,MATCH(orders!$D677,products!$A$1:$A$49,0), MATCH(orders!K$1,  products!$A$1:$G$1,0))</f>
        <v>2.5</v>
      </c>
      <c r="L677" s="7">
        <f>INDEX(products!$A$1:$G$49,MATCH(orders!$D677,products!$A$1:$A$49,0), MATCH(orders!L$1,  products!$A$1:$G$1,0))</f>
        <v>29.784999999999997</v>
      </c>
      <c r="M677" s="7">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 MATCH(orders!I$1,  products!$A$1:$G$1,0))</f>
        <v>Lib</v>
      </c>
      <c r="J678" t="str">
        <f>INDEX(products!$A$1:$G$49,MATCH(orders!$D678,products!$A$1:$A$49,0), MATCH(orders!J$1,  products!$A$1:$G$1,0))</f>
        <v>L</v>
      </c>
      <c r="K678" s="4">
        <f>INDEX(products!$A$1:$G$49,MATCH(orders!$D678,products!$A$1:$A$49,0), MATCH(orders!K$1,  products!$A$1:$G$1,0))</f>
        <v>0.5</v>
      </c>
      <c r="L678" s="7">
        <f>INDEX(products!$A$1:$G$49,MATCH(orders!$D678,products!$A$1:$A$49,0), MATCH(orders!L$1,  products!$A$1:$G$1,0))</f>
        <v>9.51</v>
      </c>
      <c r="M678" s="7">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 MATCH(orders!I$1,  products!$A$1:$G$1,0))</f>
        <v>Lib</v>
      </c>
      <c r="J679" t="str">
        <f>INDEX(products!$A$1:$G$49,MATCH(orders!$D679,products!$A$1:$A$49,0), MATCH(orders!J$1,  products!$A$1:$G$1,0))</f>
        <v>M</v>
      </c>
      <c r="K679" s="4">
        <f>INDEX(products!$A$1:$G$49,MATCH(orders!$D679,products!$A$1:$A$49,0), MATCH(orders!K$1,  products!$A$1:$G$1,0))</f>
        <v>0.5</v>
      </c>
      <c r="L679" s="7">
        <f>INDEX(products!$A$1:$G$49,MATCH(orders!$D679,products!$A$1:$A$49,0), MATCH(orders!L$1,  products!$A$1:$G$1,0))</f>
        <v>8.73</v>
      </c>
      <c r="M679" s="7">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 MATCH(orders!I$1,  products!$A$1:$G$1,0))</f>
        <v>Ara</v>
      </c>
      <c r="J680" t="str">
        <f>INDEX(products!$A$1:$G$49,MATCH(orders!$D680,products!$A$1:$A$49,0), MATCH(orders!J$1,  products!$A$1:$G$1,0))</f>
        <v>L</v>
      </c>
      <c r="K680" s="4">
        <f>INDEX(products!$A$1:$G$49,MATCH(orders!$D680,products!$A$1:$A$49,0), MATCH(orders!K$1,  products!$A$1:$G$1,0))</f>
        <v>2.5</v>
      </c>
      <c r="L680" s="7">
        <f>INDEX(products!$A$1:$G$49,MATCH(orders!$D680,products!$A$1:$A$49,0), MATCH(orders!L$1,  products!$A$1:$G$1,0))</f>
        <v>29.784999999999997</v>
      </c>
      <c r="M680" s="7">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 MATCH(orders!I$1,  products!$A$1:$G$1,0))</f>
        <v>Rob</v>
      </c>
      <c r="J681" t="str">
        <f>INDEX(products!$A$1:$G$49,MATCH(orders!$D681,products!$A$1:$A$49,0), MATCH(orders!J$1,  products!$A$1:$G$1,0))</f>
        <v>L</v>
      </c>
      <c r="K681" s="4">
        <f>INDEX(products!$A$1:$G$49,MATCH(orders!$D681,products!$A$1:$A$49,0), MATCH(orders!K$1,  products!$A$1:$G$1,0))</f>
        <v>2.5</v>
      </c>
      <c r="L681" s="7">
        <f>INDEX(products!$A$1:$G$49,MATCH(orders!$D681,products!$A$1:$A$49,0), MATCH(orders!L$1,  products!$A$1:$G$1,0))</f>
        <v>27.484999999999996</v>
      </c>
      <c r="M681" s="7">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 MATCH(orders!I$1,  products!$A$1:$G$1,0))</f>
        <v>Ara</v>
      </c>
      <c r="J682" t="str">
        <f>INDEX(products!$A$1:$G$49,MATCH(orders!$D682,products!$A$1:$A$49,0), MATCH(orders!J$1,  products!$A$1:$G$1,0))</f>
        <v>M</v>
      </c>
      <c r="K682" s="4">
        <f>INDEX(products!$A$1:$G$49,MATCH(orders!$D682,products!$A$1:$A$49,0), MATCH(orders!K$1,  products!$A$1:$G$1,0))</f>
        <v>1</v>
      </c>
      <c r="L682" s="7">
        <f>INDEX(products!$A$1:$G$49,MATCH(orders!$D682,products!$A$1:$A$49,0), MATCH(orders!L$1,  products!$A$1:$G$1,0))</f>
        <v>11.25</v>
      </c>
      <c r="M682" s="7">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 MATCH(orders!I$1,  products!$A$1:$G$1,0))</f>
        <v>Lib</v>
      </c>
      <c r="J683" t="str">
        <f>INDEX(products!$A$1:$G$49,MATCH(orders!$D683,products!$A$1:$A$49,0), MATCH(orders!J$1,  products!$A$1:$G$1,0))</f>
        <v>L</v>
      </c>
      <c r="K683" s="4">
        <f>INDEX(products!$A$1:$G$49,MATCH(orders!$D683,products!$A$1:$A$49,0), MATCH(orders!K$1,  products!$A$1:$G$1,0))</f>
        <v>0.2</v>
      </c>
      <c r="L683" s="7">
        <f>INDEX(products!$A$1:$G$49,MATCH(orders!$D683,products!$A$1:$A$49,0), MATCH(orders!L$1,  products!$A$1:$G$1,0))</f>
        <v>4.7549999999999999</v>
      </c>
      <c r="M683" s="7">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 MATCH(orders!I$1,  products!$A$1:$G$1,0))</f>
        <v>Exc</v>
      </c>
      <c r="J684" t="str">
        <f>INDEX(products!$A$1:$G$49,MATCH(orders!$D684,products!$A$1:$A$49,0), MATCH(orders!J$1,  products!$A$1:$G$1,0))</f>
        <v>M</v>
      </c>
      <c r="K684" s="4">
        <f>INDEX(products!$A$1:$G$49,MATCH(orders!$D684,products!$A$1:$A$49,0), MATCH(orders!K$1,  products!$A$1:$G$1,0))</f>
        <v>0.2</v>
      </c>
      <c r="L684" s="7">
        <f>INDEX(products!$A$1:$G$49,MATCH(orders!$D684,products!$A$1:$A$49,0), MATCH(orders!L$1,  products!$A$1:$G$1,0))</f>
        <v>4.125</v>
      </c>
      <c r="M684" s="7">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 MATCH(orders!I$1,  products!$A$1:$G$1,0))</f>
        <v>Lib</v>
      </c>
      <c r="J685" t="str">
        <f>INDEX(products!$A$1:$G$49,MATCH(orders!$D685,products!$A$1:$A$49,0), MATCH(orders!J$1,  products!$A$1:$G$1,0))</f>
        <v>D</v>
      </c>
      <c r="K685" s="4">
        <f>INDEX(products!$A$1:$G$49,MATCH(orders!$D685,products!$A$1:$A$49,0), MATCH(orders!K$1,  products!$A$1:$G$1,0))</f>
        <v>0.5</v>
      </c>
      <c r="L685" s="7">
        <f>INDEX(products!$A$1:$G$49,MATCH(orders!$D685,products!$A$1:$A$49,0), MATCH(orders!L$1,  products!$A$1:$G$1,0))</f>
        <v>7.77</v>
      </c>
      <c r="M685" s="7">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 MATCH(orders!I$1,  products!$A$1:$G$1,0))</f>
        <v>Rob</v>
      </c>
      <c r="J686" t="str">
        <f>INDEX(products!$A$1:$G$49,MATCH(orders!$D686,products!$A$1:$A$49,0), MATCH(orders!J$1,  products!$A$1:$G$1,0))</f>
        <v>L</v>
      </c>
      <c r="K686" s="4">
        <f>INDEX(products!$A$1:$G$49,MATCH(orders!$D686,products!$A$1:$A$49,0), MATCH(orders!K$1,  products!$A$1:$G$1,0))</f>
        <v>1</v>
      </c>
      <c r="L686" s="7">
        <f>INDEX(products!$A$1:$G$49,MATCH(orders!$D686,products!$A$1:$A$49,0), MATCH(orders!L$1,  products!$A$1:$G$1,0))</f>
        <v>11.95</v>
      </c>
      <c r="M686" s="7">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 MATCH(orders!I$1,  products!$A$1:$G$1,0))</f>
        <v>Lib</v>
      </c>
      <c r="J687" t="str">
        <f>INDEX(products!$A$1:$G$49,MATCH(orders!$D687,products!$A$1:$A$49,0), MATCH(orders!J$1,  products!$A$1:$G$1,0))</f>
        <v>L</v>
      </c>
      <c r="K687" s="4">
        <f>INDEX(products!$A$1:$G$49,MATCH(orders!$D687,products!$A$1:$A$49,0), MATCH(orders!K$1,  products!$A$1:$G$1,0))</f>
        <v>2.5</v>
      </c>
      <c r="L687" s="7">
        <f>INDEX(products!$A$1:$G$49,MATCH(orders!$D687,products!$A$1:$A$49,0), MATCH(orders!L$1,  products!$A$1:$G$1,0))</f>
        <v>36.454999999999998</v>
      </c>
      <c r="M687" s="7">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 MATCH(orders!I$1,  products!$A$1:$G$1,0))</f>
        <v>Rob</v>
      </c>
      <c r="J688" t="str">
        <f>INDEX(products!$A$1:$G$49,MATCH(orders!$D688,products!$A$1:$A$49,0), MATCH(orders!J$1,  products!$A$1:$G$1,0))</f>
        <v>D</v>
      </c>
      <c r="K688" s="4">
        <f>INDEX(products!$A$1:$G$49,MATCH(orders!$D688,products!$A$1:$A$49,0), MATCH(orders!K$1,  products!$A$1:$G$1,0))</f>
        <v>0.2</v>
      </c>
      <c r="L688" s="7">
        <f>INDEX(products!$A$1:$G$49,MATCH(orders!$D688,products!$A$1:$A$49,0), MATCH(orders!L$1,  products!$A$1:$G$1,0))</f>
        <v>2.6849999999999996</v>
      </c>
      <c r="M688" s="7">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 MATCH(orders!I$1,  products!$A$1:$G$1,0))</f>
        <v>Exc</v>
      </c>
      <c r="J689" t="str">
        <f>INDEX(products!$A$1:$G$49,MATCH(orders!$D689,products!$A$1:$A$49,0), MATCH(orders!J$1,  products!$A$1:$G$1,0))</f>
        <v>M</v>
      </c>
      <c r="K689" s="4">
        <f>INDEX(products!$A$1:$G$49,MATCH(orders!$D689,products!$A$1:$A$49,0), MATCH(orders!K$1,  products!$A$1:$G$1,0))</f>
        <v>0.5</v>
      </c>
      <c r="L689" s="7">
        <f>INDEX(products!$A$1:$G$49,MATCH(orders!$D689,products!$A$1:$A$49,0), MATCH(orders!L$1,  products!$A$1:$G$1,0))</f>
        <v>8.25</v>
      </c>
      <c r="M689" s="7">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 MATCH(orders!I$1,  products!$A$1:$G$1,0))</f>
        <v>Ara</v>
      </c>
      <c r="J690" t="str">
        <f>INDEX(products!$A$1:$G$49,MATCH(orders!$D690,products!$A$1:$A$49,0), MATCH(orders!J$1,  products!$A$1:$G$1,0))</f>
        <v>L</v>
      </c>
      <c r="K690" s="4">
        <f>INDEX(products!$A$1:$G$49,MATCH(orders!$D690,products!$A$1:$A$49,0), MATCH(orders!K$1,  products!$A$1:$G$1,0))</f>
        <v>1</v>
      </c>
      <c r="L690" s="7">
        <f>INDEX(products!$A$1:$G$49,MATCH(orders!$D690,products!$A$1:$A$49,0), MATCH(orders!L$1,  products!$A$1:$G$1,0))</f>
        <v>12.95</v>
      </c>
      <c r="M690" s="7">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 MATCH(orders!I$1,  products!$A$1:$G$1,0))</f>
        <v>Ara</v>
      </c>
      <c r="J691" t="str">
        <f>INDEX(products!$A$1:$G$49,MATCH(orders!$D691,products!$A$1:$A$49,0), MATCH(orders!J$1,  products!$A$1:$G$1,0))</f>
        <v>M</v>
      </c>
      <c r="K691" s="4">
        <f>INDEX(products!$A$1:$G$49,MATCH(orders!$D691,products!$A$1:$A$49,0), MATCH(orders!K$1,  products!$A$1:$G$1,0))</f>
        <v>0.5</v>
      </c>
      <c r="L691" s="7">
        <f>INDEX(products!$A$1:$G$49,MATCH(orders!$D691,products!$A$1:$A$49,0), MATCH(orders!L$1,  products!$A$1:$G$1,0))</f>
        <v>6.75</v>
      </c>
      <c r="M691" s="7">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 MATCH(orders!I$1,  products!$A$1:$G$1,0))</f>
        <v>Lib</v>
      </c>
      <c r="J692" t="str">
        <f>INDEX(products!$A$1:$G$49,MATCH(orders!$D692,products!$A$1:$A$49,0), MATCH(orders!J$1,  products!$A$1:$G$1,0))</f>
        <v>D</v>
      </c>
      <c r="K692" s="4">
        <f>INDEX(products!$A$1:$G$49,MATCH(orders!$D692,products!$A$1:$A$49,0), MATCH(orders!K$1,  products!$A$1:$G$1,0))</f>
        <v>2.5</v>
      </c>
      <c r="L692" s="7">
        <f>INDEX(products!$A$1:$G$49,MATCH(orders!$D692,products!$A$1:$A$49,0), MATCH(orders!L$1,  products!$A$1:$G$1,0))</f>
        <v>29.784999999999997</v>
      </c>
      <c r="M692" s="7">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 MATCH(orders!I$1,  products!$A$1:$G$1,0))</f>
        <v>Ara</v>
      </c>
      <c r="J693" t="str">
        <f>INDEX(products!$A$1:$G$49,MATCH(orders!$D693,products!$A$1:$A$49,0), MATCH(orders!J$1,  products!$A$1:$G$1,0))</f>
        <v>M</v>
      </c>
      <c r="K693" s="4">
        <f>INDEX(products!$A$1:$G$49,MATCH(orders!$D693,products!$A$1:$A$49,0), MATCH(orders!K$1,  products!$A$1:$G$1,0))</f>
        <v>1</v>
      </c>
      <c r="L693" s="7">
        <f>INDEX(products!$A$1:$G$49,MATCH(orders!$D693,products!$A$1:$A$49,0), MATCH(orders!L$1,  products!$A$1:$G$1,0))</f>
        <v>11.25</v>
      </c>
      <c r="M693" s="7">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 MATCH(orders!I$1,  products!$A$1:$G$1,0))</f>
        <v>Lib</v>
      </c>
      <c r="J694" t="str">
        <f>INDEX(products!$A$1:$G$49,MATCH(orders!$D694,products!$A$1:$A$49,0), MATCH(orders!J$1,  products!$A$1:$G$1,0))</f>
        <v>D</v>
      </c>
      <c r="K694" s="4">
        <f>INDEX(products!$A$1:$G$49,MATCH(orders!$D694,products!$A$1:$A$49,0), MATCH(orders!K$1,  products!$A$1:$G$1,0))</f>
        <v>1</v>
      </c>
      <c r="L694" s="7">
        <f>INDEX(products!$A$1:$G$49,MATCH(orders!$D694,products!$A$1:$A$49,0), MATCH(orders!L$1,  products!$A$1:$G$1,0))</f>
        <v>12.95</v>
      </c>
      <c r="M694" s="7">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 MATCH(orders!I$1,  products!$A$1:$G$1,0))</f>
        <v>Ara</v>
      </c>
      <c r="J695" t="str">
        <f>INDEX(products!$A$1:$G$49,MATCH(orders!$D695,products!$A$1:$A$49,0), MATCH(orders!J$1,  products!$A$1:$G$1,0))</f>
        <v>M</v>
      </c>
      <c r="K695" s="4">
        <f>INDEX(products!$A$1:$G$49,MATCH(orders!$D695,products!$A$1:$A$49,0), MATCH(orders!K$1,  products!$A$1:$G$1,0))</f>
        <v>2.5</v>
      </c>
      <c r="L695" s="7">
        <f>INDEX(products!$A$1:$G$49,MATCH(orders!$D695,products!$A$1:$A$49,0), MATCH(orders!L$1,  products!$A$1:$G$1,0))</f>
        <v>25.874999999999996</v>
      </c>
      <c r="M695" s="7">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 MATCH(orders!I$1,  products!$A$1:$G$1,0))</f>
        <v>Exc</v>
      </c>
      <c r="J696" t="str">
        <f>INDEX(products!$A$1:$G$49,MATCH(orders!$D696,products!$A$1:$A$49,0), MATCH(orders!J$1,  products!$A$1:$G$1,0))</f>
        <v>D</v>
      </c>
      <c r="K696" s="4">
        <f>INDEX(products!$A$1:$G$49,MATCH(orders!$D696,products!$A$1:$A$49,0), MATCH(orders!K$1,  products!$A$1:$G$1,0))</f>
        <v>0.5</v>
      </c>
      <c r="L696" s="7">
        <f>INDEX(products!$A$1:$G$49,MATCH(orders!$D696,products!$A$1:$A$49,0), MATCH(orders!L$1,  products!$A$1:$G$1,0))</f>
        <v>7.29</v>
      </c>
      <c r="M696" s="7">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 MATCH(orders!I$1,  products!$A$1:$G$1,0))</f>
        <v>Lib</v>
      </c>
      <c r="J697" t="str">
        <f>INDEX(products!$A$1:$G$49,MATCH(orders!$D697,products!$A$1:$A$49,0), MATCH(orders!J$1,  products!$A$1:$G$1,0))</f>
        <v>L</v>
      </c>
      <c r="K697" s="4">
        <f>INDEX(products!$A$1:$G$49,MATCH(orders!$D697,products!$A$1:$A$49,0), MATCH(orders!K$1,  products!$A$1:$G$1,0))</f>
        <v>2.5</v>
      </c>
      <c r="L697" s="7">
        <f>INDEX(products!$A$1:$G$49,MATCH(orders!$D697,products!$A$1:$A$49,0), MATCH(orders!L$1,  products!$A$1:$G$1,0))</f>
        <v>36.454999999999998</v>
      </c>
      <c r="M697" s="7">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 MATCH(orders!I$1,  products!$A$1:$G$1,0))</f>
        <v>Lib</v>
      </c>
      <c r="J698" t="str">
        <f>INDEX(products!$A$1:$G$49,MATCH(orders!$D698,products!$A$1:$A$49,0), MATCH(orders!J$1,  products!$A$1:$G$1,0))</f>
        <v>D</v>
      </c>
      <c r="K698" s="4">
        <f>INDEX(products!$A$1:$G$49,MATCH(orders!$D698,products!$A$1:$A$49,0), MATCH(orders!K$1,  products!$A$1:$G$1,0))</f>
        <v>0.5</v>
      </c>
      <c r="L698" s="7">
        <f>INDEX(products!$A$1:$G$49,MATCH(orders!$D698,products!$A$1:$A$49,0), MATCH(orders!L$1,  products!$A$1:$G$1,0))</f>
        <v>7.77</v>
      </c>
      <c r="M698" s="7">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 MATCH(orders!I$1,  products!$A$1:$G$1,0))</f>
        <v>Ara</v>
      </c>
      <c r="J699" t="str">
        <f>INDEX(products!$A$1:$G$49,MATCH(orders!$D699,products!$A$1:$A$49,0), MATCH(orders!J$1,  products!$A$1:$G$1,0))</f>
        <v>M</v>
      </c>
      <c r="K699" s="4">
        <f>INDEX(products!$A$1:$G$49,MATCH(orders!$D699,products!$A$1:$A$49,0), MATCH(orders!K$1,  products!$A$1:$G$1,0))</f>
        <v>0.5</v>
      </c>
      <c r="L699" s="7">
        <f>INDEX(products!$A$1:$G$49,MATCH(orders!$D699,products!$A$1:$A$49,0), MATCH(orders!L$1,  products!$A$1:$G$1,0))</f>
        <v>6.75</v>
      </c>
      <c r="M699" s="7">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 MATCH(orders!I$1,  products!$A$1:$G$1,0))</f>
        <v>Lib</v>
      </c>
      <c r="J700" t="str">
        <f>INDEX(products!$A$1:$G$49,MATCH(orders!$D700,products!$A$1:$A$49,0), MATCH(orders!J$1,  products!$A$1:$G$1,0))</f>
        <v>D</v>
      </c>
      <c r="K700" s="4">
        <f>INDEX(products!$A$1:$G$49,MATCH(orders!$D700,products!$A$1:$A$49,0), MATCH(orders!K$1,  products!$A$1:$G$1,0))</f>
        <v>1</v>
      </c>
      <c r="L700" s="7">
        <f>INDEX(products!$A$1:$G$49,MATCH(orders!$D700,products!$A$1:$A$49,0), MATCH(orders!L$1,  products!$A$1:$G$1,0))</f>
        <v>12.95</v>
      </c>
      <c r="M700" s="7">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 MATCH(orders!I$1,  products!$A$1:$G$1,0))</f>
        <v>Ara</v>
      </c>
      <c r="J701" t="str">
        <f>INDEX(products!$A$1:$G$49,MATCH(orders!$D701,products!$A$1:$A$49,0), MATCH(orders!J$1,  products!$A$1:$G$1,0))</f>
        <v>D</v>
      </c>
      <c r="K701" s="4">
        <f>INDEX(products!$A$1:$G$49,MATCH(orders!$D701,products!$A$1:$A$49,0), MATCH(orders!K$1,  products!$A$1:$G$1,0))</f>
        <v>0.5</v>
      </c>
      <c r="L701" s="7">
        <f>INDEX(products!$A$1:$G$49,MATCH(orders!$D701,products!$A$1:$A$49,0), MATCH(orders!L$1,  products!$A$1:$G$1,0))</f>
        <v>5.97</v>
      </c>
      <c r="M701" s="7">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 MATCH(orders!I$1,  products!$A$1:$G$1,0))</f>
        <v>Lib</v>
      </c>
      <c r="J702" t="str">
        <f>INDEX(products!$A$1:$G$49,MATCH(orders!$D702,products!$A$1:$A$49,0), MATCH(orders!J$1,  products!$A$1:$G$1,0))</f>
        <v>L</v>
      </c>
      <c r="K702" s="4">
        <f>INDEX(products!$A$1:$G$49,MATCH(orders!$D702,products!$A$1:$A$49,0), MATCH(orders!K$1,  products!$A$1:$G$1,0))</f>
        <v>0.5</v>
      </c>
      <c r="L702" s="7">
        <f>INDEX(products!$A$1:$G$49,MATCH(orders!$D702,products!$A$1:$A$49,0), MATCH(orders!L$1,  products!$A$1:$G$1,0))</f>
        <v>9.51</v>
      </c>
      <c r="M702" s="7">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 MATCH(orders!I$1,  products!$A$1:$G$1,0))</f>
        <v>Ara</v>
      </c>
      <c r="J703" t="str">
        <f>INDEX(products!$A$1:$G$49,MATCH(orders!$D703,products!$A$1:$A$49,0), MATCH(orders!J$1,  products!$A$1:$G$1,0))</f>
        <v>D</v>
      </c>
      <c r="K703" s="4">
        <f>INDEX(products!$A$1:$G$49,MATCH(orders!$D703,products!$A$1:$A$49,0), MATCH(orders!K$1,  products!$A$1:$G$1,0))</f>
        <v>0.5</v>
      </c>
      <c r="L703" s="7">
        <f>INDEX(products!$A$1:$G$49,MATCH(orders!$D703,products!$A$1:$A$49,0), MATCH(orders!L$1,  products!$A$1:$G$1,0))</f>
        <v>5.97</v>
      </c>
      <c r="M703" s="7">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 MATCH(orders!I$1,  products!$A$1:$G$1,0))</f>
        <v>Ara</v>
      </c>
      <c r="J704" t="str">
        <f>INDEX(products!$A$1:$G$49,MATCH(orders!$D704,products!$A$1:$A$49,0), MATCH(orders!J$1,  products!$A$1:$G$1,0))</f>
        <v>L</v>
      </c>
      <c r="K704" s="4">
        <f>INDEX(products!$A$1:$G$49,MATCH(orders!$D704,products!$A$1:$A$49,0), MATCH(orders!K$1,  products!$A$1:$G$1,0))</f>
        <v>0.5</v>
      </c>
      <c r="L704" s="7">
        <f>INDEX(products!$A$1:$G$49,MATCH(orders!$D704,products!$A$1:$A$49,0), MATCH(orders!L$1,  products!$A$1:$G$1,0))</f>
        <v>7.77</v>
      </c>
      <c r="M704" s="7">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 MATCH(orders!I$1,  products!$A$1:$G$1,0))</f>
        <v>Lib</v>
      </c>
      <c r="J705" t="str">
        <f>INDEX(products!$A$1:$G$49,MATCH(orders!$D705,products!$A$1:$A$49,0), MATCH(orders!J$1,  products!$A$1:$G$1,0))</f>
        <v>D</v>
      </c>
      <c r="K705" s="4">
        <f>INDEX(products!$A$1:$G$49,MATCH(orders!$D705,products!$A$1:$A$49,0), MATCH(orders!K$1,  products!$A$1:$G$1,0))</f>
        <v>2.5</v>
      </c>
      <c r="L705" s="7">
        <f>INDEX(products!$A$1:$G$49,MATCH(orders!$D705,products!$A$1:$A$49,0), MATCH(orders!L$1,  products!$A$1:$G$1,0))</f>
        <v>29.784999999999997</v>
      </c>
      <c r="M705" s="7">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 MATCH(orders!I$1,  products!$A$1:$G$1,0))</f>
        <v>Exc</v>
      </c>
      <c r="J706" t="str">
        <f>INDEX(products!$A$1:$G$49,MATCH(orders!$D706,products!$A$1:$A$49,0), MATCH(orders!J$1,  products!$A$1:$G$1,0))</f>
        <v>D</v>
      </c>
      <c r="K706" s="4">
        <f>INDEX(products!$A$1:$G$49,MATCH(orders!$D706,products!$A$1:$A$49,0), MATCH(orders!K$1,  products!$A$1:$G$1,0))</f>
        <v>0.2</v>
      </c>
      <c r="L706" s="7">
        <f>INDEX(products!$A$1:$G$49,MATCH(orders!$D706,products!$A$1:$A$49,0), MATCH(orders!L$1,  products!$A$1:$G$1,0))</f>
        <v>3.645</v>
      </c>
      <c r="M706" s="7">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 MATCH(orders!I$1,  products!$A$1:$G$1,0))</f>
        <v>Exc</v>
      </c>
      <c r="J707" t="str">
        <f>INDEX(products!$A$1:$G$49,MATCH(orders!$D707,products!$A$1:$A$49,0), MATCH(orders!J$1,  products!$A$1:$G$1,0))</f>
        <v>L</v>
      </c>
      <c r="K707" s="4">
        <f>INDEX(products!$A$1:$G$49,MATCH(orders!$D707,products!$A$1:$A$49,0), MATCH(orders!K$1,  products!$A$1:$G$1,0))</f>
        <v>0.5</v>
      </c>
      <c r="L707" s="7">
        <f>INDEX(products!$A$1:$G$49,MATCH(orders!$D707,products!$A$1:$A$49,0), MATCH(orders!L$1,  products!$A$1:$G$1,0))</f>
        <v>8.91</v>
      </c>
      <c r="M707" s="7">
        <f t="shared" ref="M707:M770" si="33">L707*E707</f>
        <v>17.82</v>
      </c>
      <c r="N707" t="str">
        <f t="shared" ref="N707:N770" si="34">IF(I707="Rob","Robusta", IF(I707="Exc","Excelsa", IF(I707="Ara", "Arabica", IF(I707="Lib", "Liberica", ""))))</f>
        <v>Excelsa</v>
      </c>
      <c r="O707" t="str">
        <f t="shared" ref="O707:O770" si="35">IF(J707="M", "Medium", IF(J707="L", "Light",IF(J707="D","Dark","")))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 MATCH(orders!I$1,  products!$A$1:$G$1,0))</f>
        <v>Exc</v>
      </c>
      <c r="J708" t="str">
        <f>INDEX(products!$A$1:$G$49,MATCH(orders!$D708,products!$A$1:$A$49,0), MATCH(orders!J$1,  products!$A$1:$G$1,0))</f>
        <v>M</v>
      </c>
      <c r="K708" s="4">
        <f>INDEX(products!$A$1:$G$49,MATCH(orders!$D708,products!$A$1:$A$49,0), MATCH(orders!K$1,  products!$A$1:$G$1,0))</f>
        <v>0.2</v>
      </c>
      <c r="L708" s="7">
        <f>INDEX(products!$A$1:$G$49,MATCH(orders!$D708,products!$A$1:$A$49,0), MATCH(orders!L$1,  products!$A$1:$G$1,0))</f>
        <v>4.125</v>
      </c>
      <c r="M708" s="7">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 MATCH(orders!I$1,  products!$A$1:$G$1,0))</f>
        <v>Lib</v>
      </c>
      <c r="J709" t="str">
        <f>INDEX(products!$A$1:$G$49,MATCH(orders!$D709,products!$A$1:$A$49,0), MATCH(orders!J$1,  products!$A$1:$G$1,0))</f>
        <v>D</v>
      </c>
      <c r="K709" s="4">
        <f>INDEX(products!$A$1:$G$49,MATCH(orders!$D709,products!$A$1:$A$49,0), MATCH(orders!K$1,  products!$A$1:$G$1,0))</f>
        <v>1</v>
      </c>
      <c r="L709" s="7">
        <f>INDEX(products!$A$1:$G$49,MATCH(orders!$D709,products!$A$1:$A$49,0), MATCH(orders!L$1,  products!$A$1:$G$1,0))</f>
        <v>12.95</v>
      </c>
      <c r="M709" s="7">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 MATCH(orders!I$1,  products!$A$1:$G$1,0))</f>
        <v>Ara</v>
      </c>
      <c r="J710" t="str">
        <f>INDEX(products!$A$1:$G$49,MATCH(orders!$D710,products!$A$1:$A$49,0), MATCH(orders!J$1,  products!$A$1:$G$1,0))</f>
        <v>M</v>
      </c>
      <c r="K710" s="4">
        <f>INDEX(products!$A$1:$G$49,MATCH(orders!$D710,products!$A$1:$A$49,0), MATCH(orders!K$1,  products!$A$1:$G$1,0))</f>
        <v>0.5</v>
      </c>
      <c r="L710" s="7">
        <f>INDEX(products!$A$1:$G$49,MATCH(orders!$D710,products!$A$1:$A$49,0), MATCH(orders!L$1,  products!$A$1:$G$1,0))</f>
        <v>6.75</v>
      </c>
      <c r="M710" s="7">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 MATCH(orders!I$1,  products!$A$1:$G$1,0))</f>
        <v>Exc</v>
      </c>
      <c r="J711" t="str">
        <f>INDEX(products!$A$1:$G$49,MATCH(orders!$D711,products!$A$1:$A$49,0), MATCH(orders!J$1,  products!$A$1:$G$1,0))</f>
        <v>L</v>
      </c>
      <c r="K711" s="4">
        <f>INDEX(products!$A$1:$G$49,MATCH(orders!$D711,products!$A$1:$A$49,0), MATCH(orders!K$1,  products!$A$1:$G$1,0))</f>
        <v>0.5</v>
      </c>
      <c r="L711" s="7">
        <f>INDEX(products!$A$1:$G$49,MATCH(orders!$D711,products!$A$1:$A$49,0), MATCH(orders!L$1,  products!$A$1:$G$1,0))</f>
        <v>8.91</v>
      </c>
      <c r="M711" s="7">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 MATCH(orders!I$1,  products!$A$1:$G$1,0))</f>
        <v>Exc</v>
      </c>
      <c r="J712" t="str">
        <f>INDEX(products!$A$1:$G$49,MATCH(orders!$D712,products!$A$1:$A$49,0), MATCH(orders!J$1,  products!$A$1:$G$1,0))</f>
        <v>M</v>
      </c>
      <c r="K712" s="4">
        <f>INDEX(products!$A$1:$G$49,MATCH(orders!$D712,products!$A$1:$A$49,0), MATCH(orders!K$1,  products!$A$1:$G$1,0))</f>
        <v>0.5</v>
      </c>
      <c r="L712" s="7">
        <f>INDEX(products!$A$1:$G$49,MATCH(orders!$D712,products!$A$1:$A$49,0), MATCH(orders!L$1,  products!$A$1:$G$1,0))</f>
        <v>8.25</v>
      </c>
      <c r="M712" s="7">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 MATCH(orders!I$1,  products!$A$1:$G$1,0))</f>
        <v>Rob</v>
      </c>
      <c r="J713" t="str">
        <f>INDEX(products!$A$1:$G$49,MATCH(orders!$D713,products!$A$1:$A$49,0), MATCH(orders!J$1,  products!$A$1:$G$1,0))</f>
        <v>M</v>
      </c>
      <c r="K713" s="4">
        <f>INDEX(products!$A$1:$G$49,MATCH(orders!$D713,products!$A$1:$A$49,0), MATCH(orders!K$1,  products!$A$1:$G$1,0))</f>
        <v>0.2</v>
      </c>
      <c r="L713" s="7">
        <f>INDEX(products!$A$1:$G$49,MATCH(orders!$D713,products!$A$1:$A$49,0), MATCH(orders!L$1,  products!$A$1:$G$1,0))</f>
        <v>2.9849999999999999</v>
      </c>
      <c r="M713" s="7">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 MATCH(orders!I$1,  products!$A$1:$G$1,0))</f>
        <v>Exc</v>
      </c>
      <c r="J714" t="str">
        <f>INDEX(products!$A$1:$G$49,MATCH(orders!$D714,products!$A$1:$A$49,0), MATCH(orders!J$1,  products!$A$1:$G$1,0))</f>
        <v>M</v>
      </c>
      <c r="K714" s="4">
        <f>INDEX(products!$A$1:$G$49,MATCH(orders!$D714,products!$A$1:$A$49,0), MATCH(orders!K$1,  products!$A$1:$G$1,0))</f>
        <v>0.5</v>
      </c>
      <c r="L714" s="7">
        <f>INDEX(products!$A$1:$G$49,MATCH(orders!$D714,products!$A$1:$A$49,0), MATCH(orders!L$1,  products!$A$1:$G$1,0))</f>
        <v>8.25</v>
      </c>
      <c r="M714" s="7">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 MATCH(orders!I$1,  products!$A$1:$G$1,0))</f>
        <v>Rob</v>
      </c>
      <c r="J715" t="str">
        <f>INDEX(products!$A$1:$G$49,MATCH(orders!$D715,products!$A$1:$A$49,0), MATCH(orders!J$1,  products!$A$1:$G$1,0))</f>
        <v>M</v>
      </c>
      <c r="K715" s="4">
        <f>INDEX(products!$A$1:$G$49,MATCH(orders!$D715,products!$A$1:$A$49,0), MATCH(orders!K$1,  products!$A$1:$G$1,0))</f>
        <v>0.2</v>
      </c>
      <c r="L715" s="7">
        <f>INDEX(products!$A$1:$G$49,MATCH(orders!$D715,products!$A$1:$A$49,0), MATCH(orders!L$1,  products!$A$1:$G$1,0))</f>
        <v>2.9849999999999999</v>
      </c>
      <c r="M715" s="7">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 MATCH(orders!I$1,  products!$A$1:$G$1,0))</f>
        <v>Exc</v>
      </c>
      <c r="J716" t="str">
        <f>INDEX(products!$A$1:$G$49,MATCH(orders!$D716,products!$A$1:$A$49,0), MATCH(orders!J$1,  products!$A$1:$G$1,0))</f>
        <v>D</v>
      </c>
      <c r="K716" s="4">
        <f>INDEX(products!$A$1:$G$49,MATCH(orders!$D716,products!$A$1:$A$49,0), MATCH(orders!K$1,  products!$A$1:$G$1,0))</f>
        <v>0.2</v>
      </c>
      <c r="L716" s="7">
        <f>INDEX(products!$A$1:$G$49,MATCH(orders!$D716,products!$A$1:$A$49,0), MATCH(orders!L$1,  products!$A$1:$G$1,0))</f>
        <v>3.645</v>
      </c>
      <c r="M716" s="7">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 MATCH(orders!I$1,  products!$A$1:$G$1,0))</f>
        <v>Exc</v>
      </c>
      <c r="J717" t="str">
        <f>INDEX(products!$A$1:$G$49,MATCH(orders!$D717,products!$A$1:$A$49,0), MATCH(orders!J$1,  products!$A$1:$G$1,0))</f>
        <v>L</v>
      </c>
      <c r="K717" s="4">
        <f>INDEX(products!$A$1:$G$49,MATCH(orders!$D717,products!$A$1:$A$49,0), MATCH(orders!K$1,  products!$A$1:$G$1,0))</f>
        <v>1</v>
      </c>
      <c r="L717" s="7">
        <f>INDEX(products!$A$1:$G$49,MATCH(orders!$D717,products!$A$1:$A$49,0), MATCH(orders!L$1,  products!$A$1:$G$1,0))</f>
        <v>14.85</v>
      </c>
      <c r="M717" s="7">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 MATCH(orders!I$1,  products!$A$1:$G$1,0))</f>
        <v>Rob</v>
      </c>
      <c r="J718" t="str">
        <f>INDEX(products!$A$1:$G$49,MATCH(orders!$D718,products!$A$1:$A$49,0), MATCH(orders!J$1,  products!$A$1:$G$1,0))</f>
        <v>L</v>
      </c>
      <c r="K718" s="4">
        <f>INDEX(products!$A$1:$G$49,MATCH(orders!$D718,products!$A$1:$A$49,0), MATCH(orders!K$1,  products!$A$1:$G$1,0))</f>
        <v>1</v>
      </c>
      <c r="L718" s="7">
        <f>INDEX(products!$A$1:$G$49,MATCH(orders!$D718,products!$A$1:$A$49,0), MATCH(orders!L$1,  products!$A$1:$G$1,0))</f>
        <v>11.95</v>
      </c>
      <c r="M718" s="7">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 MATCH(orders!I$1,  products!$A$1:$G$1,0))</f>
        <v>Ara</v>
      </c>
      <c r="J719" t="str">
        <f>INDEX(products!$A$1:$G$49,MATCH(orders!$D719,products!$A$1:$A$49,0), MATCH(orders!J$1,  products!$A$1:$G$1,0))</f>
        <v>D</v>
      </c>
      <c r="K719" s="4">
        <f>INDEX(products!$A$1:$G$49,MATCH(orders!$D719,products!$A$1:$A$49,0), MATCH(orders!K$1,  products!$A$1:$G$1,0))</f>
        <v>2.5</v>
      </c>
      <c r="L719" s="7">
        <f>INDEX(products!$A$1:$G$49,MATCH(orders!$D719,products!$A$1:$A$49,0), MATCH(orders!L$1,  products!$A$1:$G$1,0))</f>
        <v>22.884999999999998</v>
      </c>
      <c r="M719" s="7">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 MATCH(orders!I$1,  products!$A$1:$G$1,0))</f>
        <v>Lib</v>
      </c>
      <c r="J720" t="str">
        <f>INDEX(products!$A$1:$G$49,MATCH(orders!$D720,products!$A$1:$A$49,0), MATCH(orders!J$1,  products!$A$1:$G$1,0))</f>
        <v>D</v>
      </c>
      <c r="K720" s="4">
        <f>INDEX(products!$A$1:$G$49,MATCH(orders!$D720,products!$A$1:$A$49,0), MATCH(orders!K$1,  products!$A$1:$G$1,0))</f>
        <v>1</v>
      </c>
      <c r="L720" s="7">
        <f>INDEX(products!$A$1:$G$49,MATCH(orders!$D720,products!$A$1:$A$49,0), MATCH(orders!L$1,  products!$A$1:$G$1,0))</f>
        <v>12.95</v>
      </c>
      <c r="M720" s="7">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 MATCH(orders!I$1,  products!$A$1:$G$1,0))</f>
        <v>Lib</v>
      </c>
      <c r="J721" t="str">
        <f>INDEX(products!$A$1:$G$49,MATCH(orders!$D721,products!$A$1:$A$49,0), MATCH(orders!J$1,  products!$A$1:$G$1,0))</f>
        <v>L</v>
      </c>
      <c r="K721" s="4">
        <f>INDEX(products!$A$1:$G$49,MATCH(orders!$D721,products!$A$1:$A$49,0), MATCH(orders!K$1,  products!$A$1:$G$1,0))</f>
        <v>1</v>
      </c>
      <c r="L721" s="7">
        <f>INDEX(products!$A$1:$G$49,MATCH(orders!$D721,products!$A$1:$A$49,0), MATCH(orders!L$1,  products!$A$1:$G$1,0))</f>
        <v>15.85</v>
      </c>
      <c r="M721" s="7">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 MATCH(orders!I$1,  products!$A$1:$G$1,0))</f>
        <v>Exc</v>
      </c>
      <c r="J722" t="str">
        <f>INDEX(products!$A$1:$G$49,MATCH(orders!$D722,products!$A$1:$A$49,0), MATCH(orders!J$1,  products!$A$1:$G$1,0))</f>
        <v>D</v>
      </c>
      <c r="K722" s="4">
        <f>INDEX(products!$A$1:$G$49,MATCH(orders!$D722,products!$A$1:$A$49,0), MATCH(orders!K$1,  products!$A$1:$G$1,0))</f>
        <v>0.5</v>
      </c>
      <c r="L722" s="7">
        <f>INDEX(products!$A$1:$G$49,MATCH(orders!$D722,products!$A$1:$A$49,0), MATCH(orders!L$1,  products!$A$1:$G$1,0))</f>
        <v>7.29</v>
      </c>
      <c r="M722" s="7">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 MATCH(orders!I$1,  products!$A$1:$G$1,0))</f>
        <v>Rob</v>
      </c>
      <c r="J723" t="str">
        <f>INDEX(products!$A$1:$G$49,MATCH(orders!$D723,products!$A$1:$A$49,0), MATCH(orders!J$1,  products!$A$1:$G$1,0))</f>
        <v>M</v>
      </c>
      <c r="K723" s="4">
        <f>INDEX(products!$A$1:$G$49,MATCH(orders!$D723,products!$A$1:$A$49,0), MATCH(orders!K$1,  products!$A$1:$G$1,0))</f>
        <v>0.2</v>
      </c>
      <c r="L723" s="7">
        <f>INDEX(products!$A$1:$G$49,MATCH(orders!$D723,products!$A$1:$A$49,0), MATCH(orders!L$1,  products!$A$1:$G$1,0))</f>
        <v>2.9849999999999999</v>
      </c>
      <c r="M723" s="7">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 MATCH(orders!I$1,  products!$A$1:$G$1,0))</f>
        <v>Exc</v>
      </c>
      <c r="J724" t="str">
        <f>INDEX(products!$A$1:$G$49,MATCH(orders!$D724,products!$A$1:$A$49,0), MATCH(orders!J$1,  products!$A$1:$G$1,0))</f>
        <v>D</v>
      </c>
      <c r="K724" s="4">
        <f>INDEX(products!$A$1:$G$49,MATCH(orders!$D724,products!$A$1:$A$49,0), MATCH(orders!K$1,  products!$A$1:$G$1,0))</f>
        <v>1</v>
      </c>
      <c r="L724" s="7">
        <f>INDEX(products!$A$1:$G$49,MATCH(orders!$D724,products!$A$1:$A$49,0), MATCH(orders!L$1,  products!$A$1:$G$1,0))</f>
        <v>12.15</v>
      </c>
      <c r="M724" s="7">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 MATCH(orders!I$1,  products!$A$1:$G$1,0))</f>
        <v>Exc</v>
      </c>
      <c r="J725" t="str">
        <f>INDEX(products!$A$1:$G$49,MATCH(orders!$D725,products!$A$1:$A$49,0), MATCH(orders!J$1,  products!$A$1:$G$1,0))</f>
        <v>M</v>
      </c>
      <c r="K725" s="4">
        <f>INDEX(products!$A$1:$G$49,MATCH(orders!$D725,products!$A$1:$A$49,0), MATCH(orders!K$1,  products!$A$1:$G$1,0))</f>
        <v>2.5</v>
      </c>
      <c r="L725" s="7">
        <f>INDEX(products!$A$1:$G$49,MATCH(orders!$D725,products!$A$1:$A$49,0), MATCH(orders!L$1,  products!$A$1:$G$1,0))</f>
        <v>31.624999999999996</v>
      </c>
      <c r="M725" s="7">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 MATCH(orders!I$1,  products!$A$1:$G$1,0))</f>
        <v>Ara</v>
      </c>
      <c r="J726" t="str">
        <f>INDEX(products!$A$1:$G$49,MATCH(orders!$D726,products!$A$1:$A$49,0), MATCH(orders!J$1,  products!$A$1:$G$1,0))</f>
        <v>M</v>
      </c>
      <c r="K726" s="4">
        <f>INDEX(products!$A$1:$G$49,MATCH(orders!$D726,products!$A$1:$A$49,0), MATCH(orders!K$1,  products!$A$1:$G$1,0))</f>
        <v>0.2</v>
      </c>
      <c r="L726" s="7">
        <f>INDEX(products!$A$1:$G$49,MATCH(orders!$D726,products!$A$1:$A$49,0), MATCH(orders!L$1,  products!$A$1:$G$1,0))</f>
        <v>3.375</v>
      </c>
      <c r="M726" s="7">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 MATCH(orders!I$1,  products!$A$1:$G$1,0))</f>
        <v>Ara</v>
      </c>
      <c r="J727" t="str">
        <f>INDEX(products!$A$1:$G$49,MATCH(orders!$D727,products!$A$1:$A$49,0), MATCH(orders!J$1,  products!$A$1:$G$1,0))</f>
        <v>L</v>
      </c>
      <c r="K727" s="4">
        <f>INDEX(products!$A$1:$G$49,MATCH(orders!$D727,products!$A$1:$A$49,0), MATCH(orders!K$1,  products!$A$1:$G$1,0))</f>
        <v>0.2</v>
      </c>
      <c r="L727" s="7">
        <f>INDEX(products!$A$1:$G$49,MATCH(orders!$D727,products!$A$1:$A$49,0), MATCH(orders!L$1,  products!$A$1:$G$1,0))</f>
        <v>3.8849999999999998</v>
      </c>
      <c r="M727" s="7">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 MATCH(orders!I$1,  products!$A$1:$G$1,0))</f>
        <v>Lib</v>
      </c>
      <c r="J728" t="str">
        <f>INDEX(products!$A$1:$G$49,MATCH(orders!$D728,products!$A$1:$A$49,0), MATCH(orders!J$1,  products!$A$1:$G$1,0))</f>
        <v>L</v>
      </c>
      <c r="K728" s="4">
        <f>INDEX(products!$A$1:$G$49,MATCH(orders!$D728,products!$A$1:$A$49,0), MATCH(orders!K$1,  products!$A$1:$G$1,0))</f>
        <v>2.5</v>
      </c>
      <c r="L728" s="7">
        <f>INDEX(products!$A$1:$G$49,MATCH(orders!$D728,products!$A$1:$A$49,0), MATCH(orders!L$1,  products!$A$1:$G$1,0))</f>
        <v>36.454999999999998</v>
      </c>
      <c r="M728" s="7">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 MATCH(orders!I$1,  products!$A$1:$G$1,0))</f>
        <v>Rob</v>
      </c>
      <c r="J729" t="str">
        <f>INDEX(products!$A$1:$G$49,MATCH(orders!$D729,products!$A$1:$A$49,0), MATCH(orders!J$1,  products!$A$1:$G$1,0))</f>
        <v>M</v>
      </c>
      <c r="K729" s="4">
        <f>INDEX(products!$A$1:$G$49,MATCH(orders!$D729,products!$A$1:$A$49,0), MATCH(orders!K$1,  products!$A$1:$G$1,0))</f>
        <v>0.5</v>
      </c>
      <c r="L729" s="7">
        <f>INDEX(products!$A$1:$G$49,MATCH(orders!$D729,products!$A$1:$A$49,0), MATCH(orders!L$1,  products!$A$1:$G$1,0))</f>
        <v>5.97</v>
      </c>
      <c r="M729" s="7">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 MATCH(orders!I$1,  products!$A$1:$G$1,0))</f>
        <v>Exc</v>
      </c>
      <c r="J730" t="str">
        <f>INDEX(products!$A$1:$G$49,MATCH(orders!$D730,products!$A$1:$A$49,0), MATCH(orders!J$1,  products!$A$1:$G$1,0))</f>
        <v>D</v>
      </c>
      <c r="K730" s="4">
        <f>INDEX(products!$A$1:$G$49,MATCH(orders!$D730,products!$A$1:$A$49,0), MATCH(orders!K$1,  products!$A$1:$G$1,0))</f>
        <v>0.5</v>
      </c>
      <c r="L730" s="7">
        <f>INDEX(products!$A$1:$G$49,MATCH(orders!$D730,products!$A$1:$A$49,0), MATCH(orders!L$1,  products!$A$1:$G$1,0))</f>
        <v>7.29</v>
      </c>
      <c r="M730" s="7">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 MATCH(orders!I$1,  products!$A$1:$G$1,0))</f>
        <v>Lib</v>
      </c>
      <c r="J731" t="str">
        <f>INDEX(products!$A$1:$G$49,MATCH(orders!$D731,products!$A$1:$A$49,0), MATCH(orders!J$1,  products!$A$1:$G$1,0))</f>
        <v>M</v>
      </c>
      <c r="K731" s="4">
        <f>INDEX(products!$A$1:$G$49,MATCH(orders!$D731,products!$A$1:$A$49,0), MATCH(orders!K$1,  products!$A$1:$G$1,0))</f>
        <v>0.2</v>
      </c>
      <c r="L731" s="7">
        <f>INDEX(products!$A$1:$G$49,MATCH(orders!$D731,products!$A$1:$A$49,0), MATCH(orders!L$1,  products!$A$1:$G$1,0))</f>
        <v>4.3650000000000002</v>
      </c>
      <c r="M731" s="7">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 MATCH(orders!I$1,  products!$A$1:$G$1,0))</f>
        <v>Lib</v>
      </c>
      <c r="J732" t="str">
        <f>INDEX(products!$A$1:$G$49,MATCH(orders!$D732,products!$A$1:$A$49,0), MATCH(orders!J$1,  products!$A$1:$G$1,0))</f>
        <v>L</v>
      </c>
      <c r="K732" s="4">
        <f>INDEX(products!$A$1:$G$49,MATCH(orders!$D732,products!$A$1:$A$49,0), MATCH(orders!K$1,  products!$A$1:$G$1,0))</f>
        <v>2.5</v>
      </c>
      <c r="L732" s="7">
        <f>INDEX(products!$A$1:$G$49,MATCH(orders!$D732,products!$A$1:$A$49,0), MATCH(orders!L$1,  products!$A$1:$G$1,0))</f>
        <v>36.454999999999998</v>
      </c>
      <c r="M732" s="7">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 MATCH(orders!I$1,  products!$A$1:$G$1,0))</f>
        <v>Lib</v>
      </c>
      <c r="J733" t="str">
        <f>INDEX(products!$A$1:$G$49,MATCH(orders!$D733,products!$A$1:$A$49,0), MATCH(orders!J$1,  products!$A$1:$G$1,0))</f>
        <v>D</v>
      </c>
      <c r="K733" s="4">
        <f>INDEX(products!$A$1:$G$49,MATCH(orders!$D733,products!$A$1:$A$49,0), MATCH(orders!K$1,  products!$A$1:$G$1,0))</f>
        <v>0.2</v>
      </c>
      <c r="L733" s="7">
        <f>INDEX(products!$A$1:$G$49,MATCH(orders!$D733,products!$A$1:$A$49,0), MATCH(orders!L$1,  products!$A$1:$G$1,0))</f>
        <v>3.8849999999999998</v>
      </c>
      <c r="M733" s="7">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 MATCH(orders!I$1,  products!$A$1:$G$1,0))</f>
        <v>Exc</v>
      </c>
      <c r="J734" t="str">
        <f>INDEX(products!$A$1:$G$49,MATCH(orders!$D734,products!$A$1:$A$49,0), MATCH(orders!J$1,  products!$A$1:$G$1,0))</f>
        <v>L</v>
      </c>
      <c r="K734" s="4">
        <f>INDEX(products!$A$1:$G$49,MATCH(orders!$D734,products!$A$1:$A$49,0), MATCH(orders!K$1,  products!$A$1:$G$1,0))</f>
        <v>0.2</v>
      </c>
      <c r="L734" s="7">
        <f>INDEX(products!$A$1:$G$49,MATCH(orders!$D734,products!$A$1:$A$49,0), MATCH(orders!L$1,  products!$A$1:$G$1,0))</f>
        <v>4.4550000000000001</v>
      </c>
      <c r="M734" s="7">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 MATCH(orders!I$1,  products!$A$1:$G$1,0))</f>
        <v>Lib</v>
      </c>
      <c r="J735" t="str">
        <f>INDEX(products!$A$1:$G$49,MATCH(orders!$D735,products!$A$1:$A$49,0), MATCH(orders!J$1,  products!$A$1:$G$1,0))</f>
        <v>M</v>
      </c>
      <c r="K735" s="4">
        <f>INDEX(products!$A$1:$G$49,MATCH(orders!$D735,products!$A$1:$A$49,0), MATCH(orders!K$1,  products!$A$1:$G$1,0))</f>
        <v>2.5</v>
      </c>
      <c r="L735" s="7">
        <f>INDEX(products!$A$1:$G$49,MATCH(orders!$D735,products!$A$1:$A$49,0), MATCH(orders!L$1,  products!$A$1:$G$1,0))</f>
        <v>33.464999999999996</v>
      </c>
      <c r="M735" s="7">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 MATCH(orders!I$1,  products!$A$1:$G$1,0))</f>
        <v>Rob</v>
      </c>
      <c r="J736" t="str">
        <f>INDEX(products!$A$1:$G$49,MATCH(orders!$D736,products!$A$1:$A$49,0), MATCH(orders!J$1,  products!$A$1:$G$1,0))</f>
        <v>D</v>
      </c>
      <c r="K736" s="4">
        <f>INDEX(products!$A$1:$G$49,MATCH(orders!$D736,products!$A$1:$A$49,0), MATCH(orders!K$1,  products!$A$1:$G$1,0))</f>
        <v>0.2</v>
      </c>
      <c r="L736" s="7">
        <f>INDEX(products!$A$1:$G$49,MATCH(orders!$D736,products!$A$1:$A$49,0), MATCH(orders!L$1,  products!$A$1:$G$1,0))</f>
        <v>2.6849999999999996</v>
      </c>
      <c r="M736" s="7">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 MATCH(orders!I$1,  products!$A$1:$G$1,0))</f>
        <v>Exc</v>
      </c>
      <c r="J737" t="str">
        <f>INDEX(products!$A$1:$G$49,MATCH(orders!$D737,products!$A$1:$A$49,0), MATCH(orders!J$1,  products!$A$1:$G$1,0))</f>
        <v>D</v>
      </c>
      <c r="K737" s="4">
        <f>INDEX(products!$A$1:$G$49,MATCH(orders!$D737,products!$A$1:$A$49,0), MATCH(orders!K$1,  products!$A$1:$G$1,0))</f>
        <v>0.2</v>
      </c>
      <c r="L737" s="7">
        <f>INDEX(products!$A$1:$G$49,MATCH(orders!$D737,products!$A$1:$A$49,0), MATCH(orders!L$1,  products!$A$1:$G$1,0))</f>
        <v>3.645</v>
      </c>
      <c r="M737" s="7">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 MATCH(orders!I$1,  products!$A$1:$G$1,0))</f>
        <v>Lib</v>
      </c>
      <c r="J738" t="str">
        <f>INDEX(products!$A$1:$G$49,MATCH(orders!$D738,products!$A$1:$A$49,0), MATCH(orders!J$1,  products!$A$1:$G$1,0))</f>
        <v>D</v>
      </c>
      <c r="K738" s="4">
        <f>INDEX(products!$A$1:$G$49,MATCH(orders!$D738,products!$A$1:$A$49,0), MATCH(orders!K$1,  products!$A$1:$G$1,0))</f>
        <v>1</v>
      </c>
      <c r="L738" s="7">
        <f>INDEX(products!$A$1:$G$49,MATCH(orders!$D738,products!$A$1:$A$49,0), MATCH(orders!L$1,  products!$A$1:$G$1,0))</f>
        <v>12.95</v>
      </c>
      <c r="M738" s="7">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 MATCH(orders!I$1,  products!$A$1:$G$1,0))</f>
        <v>Ara</v>
      </c>
      <c r="J739" t="str">
        <f>INDEX(products!$A$1:$G$49,MATCH(orders!$D739,products!$A$1:$A$49,0), MATCH(orders!J$1,  products!$A$1:$G$1,0))</f>
        <v>M</v>
      </c>
      <c r="K739" s="4">
        <f>INDEX(products!$A$1:$G$49,MATCH(orders!$D739,products!$A$1:$A$49,0), MATCH(orders!K$1,  products!$A$1:$G$1,0))</f>
        <v>1</v>
      </c>
      <c r="L739" s="7">
        <f>INDEX(products!$A$1:$G$49,MATCH(orders!$D739,products!$A$1:$A$49,0), MATCH(orders!L$1,  products!$A$1:$G$1,0))</f>
        <v>11.25</v>
      </c>
      <c r="M739" s="7">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 MATCH(orders!I$1,  products!$A$1:$G$1,0))</f>
        <v>Rob</v>
      </c>
      <c r="J740" t="str">
        <f>INDEX(products!$A$1:$G$49,MATCH(orders!$D740,products!$A$1:$A$49,0), MATCH(orders!J$1,  products!$A$1:$G$1,0))</f>
        <v>L</v>
      </c>
      <c r="K740" s="4">
        <f>INDEX(products!$A$1:$G$49,MATCH(orders!$D740,products!$A$1:$A$49,0), MATCH(orders!K$1,  products!$A$1:$G$1,0))</f>
        <v>0.2</v>
      </c>
      <c r="L740" s="7">
        <f>INDEX(products!$A$1:$G$49,MATCH(orders!$D740,products!$A$1:$A$49,0), MATCH(orders!L$1,  products!$A$1:$G$1,0))</f>
        <v>3.5849999999999995</v>
      </c>
      <c r="M740" s="7">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 MATCH(orders!I$1,  products!$A$1:$G$1,0))</f>
        <v>Exc</v>
      </c>
      <c r="J741" t="str">
        <f>INDEX(products!$A$1:$G$49,MATCH(orders!$D741,products!$A$1:$A$49,0), MATCH(orders!J$1,  products!$A$1:$G$1,0))</f>
        <v>D</v>
      </c>
      <c r="K741" s="4">
        <f>INDEX(products!$A$1:$G$49,MATCH(orders!$D741,products!$A$1:$A$49,0), MATCH(orders!K$1,  products!$A$1:$G$1,0))</f>
        <v>0.2</v>
      </c>
      <c r="L741" s="7">
        <f>INDEX(products!$A$1:$G$49,MATCH(orders!$D741,products!$A$1:$A$49,0), MATCH(orders!L$1,  products!$A$1:$G$1,0))</f>
        <v>3.645</v>
      </c>
      <c r="M741" s="7">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 MATCH(orders!I$1,  products!$A$1:$G$1,0))</f>
        <v>Rob</v>
      </c>
      <c r="J742" t="str">
        <f>INDEX(products!$A$1:$G$49,MATCH(orders!$D742,products!$A$1:$A$49,0), MATCH(orders!J$1,  products!$A$1:$G$1,0))</f>
        <v>L</v>
      </c>
      <c r="K742" s="4">
        <f>INDEX(products!$A$1:$G$49,MATCH(orders!$D742,products!$A$1:$A$49,0), MATCH(orders!K$1,  products!$A$1:$G$1,0))</f>
        <v>0.5</v>
      </c>
      <c r="L742" s="7">
        <f>INDEX(products!$A$1:$G$49,MATCH(orders!$D742,products!$A$1:$A$49,0), MATCH(orders!L$1,  products!$A$1:$G$1,0))</f>
        <v>7.169999999999999</v>
      </c>
      <c r="M742" s="7">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 MATCH(orders!I$1,  products!$A$1:$G$1,0))</f>
        <v>Lib</v>
      </c>
      <c r="J743" t="str">
        <f>INDEX(products!$A$1:$G$49,MATCH(orders!$D743,products!$A$1:$A$49,0), MATCH(orders!J$1,  products!$A$1:$G$1,0))</f>
        <v>M</v>
      </c>
      <c r="K743" s="4">
        <f>INDEX(products!$A$1:$G$49,MATCH(orders!$D743,products!$A$1:$A$49,0), MATCH(orders!K$1,  products!$A$1:$G$1,0))</f>
        <v>0.2</v>
      </c>
      <c r="L743" s="7">
        <f>INDEX(products!$A$1:$G$49,MATCH(orders!$D743,products!$A$1:$A$49,0), MATCH(orders!L$1,  products!$A$1:$G$1,0))</f>
        <v>4.3650000000000002</v>
      </c>
      <c r="M743" s="7">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 MATCH(orders!I$1,  products!$A$1:$G$1,0))</f>
        <v>Lib</v>
      </c>
      <c r="J744" t="str">
        <f>INDEX(products!$A$1:$G$49,MATCH(orders!$D744,products!$A$1:$A$49,0), MATCH(orders!J$1,  products!$A$1:$G$1,0))</f>
        <v>M</v>
      </c>
      <c r="K744" s="4">
        <f>INDEX(products!$A$1:$G$49,MATCH(orders!$D744,products!$A$1:$A$49,0), MATCH(orders!K$1,  products!$A$1:$G$1,0))</f>
        <v>1</v>
      </c>
      <c r="L744" s="7">
        <f>INDEX(products!$A$1:$G$49,MATCH(orders!$D744,products!$A$1:$A$49,0), MATCH(orders!L$1,  products!$A$1:$G$1,0))</f>
        <v>14.55</v>
      </c>
      <c r="M744" s="7">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 MATCH(orders!I$1,  products!$A$1:$G$1,0))</f>
        <v>Ara</v>
      </c>
      <c r="J745" t="str">
        <f>INDEX(products!$A$1:$G$49,MATCH(orders!$D745,products!$A$1:$A$49,0), MATCH(orders!J$1,  products!$A$1:$G$1,0))</f>
        <v>D</v>
      </c>
      <c r="K745" s="4">
        <f>INDEX(products!$A$1:$G$49,MATCH(orders!$D745,products!$A$1:$A$49,0), MATCH(orders!K$1,  products!$A$1:$G$1,0))</f>
        <v>0.5</v>
      </c>
      <c r="L745" s="7">
        <f>INDEX(products!$A$1:$G$49,MATCH(orders!$D745,products!$A$1:$A$49,0), MATCH(orders!L$1,  products!$A$1:$G$1,0))</f>
        <v>5.97</v>
      </c>
      <c r="M745" s="7">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 MATCH(orders!I$1,  products!$A$1:$G$1,0))</f>
        <v>Rob</v>
      </c>
      <c r="J746" t="str">
        <f>INDEX(products!$A$1:$G$49,MATCH(orders!$D746,products!$A$1:$A$49,0), MATCH(orders!J$1,  products!$A$1:$G$1,0))</f>
        <v>M</v>
      </c>
      <c r="K746" s="4">
        <f>INDEX(products!$A$1:$G$49,MATCH(orders!$D746,products!$A$1:$A$49,0), MATCH(orders!K$1,  products!$A$1:$G$1,0))</f>
        <v>0.2</v>
      </c>
      <c r="L746" s="7">
        <f>INDEX(products!$A$1:$G$49,MATCH(orders!$D746,products!$A$1:$A$49,0), MATCH(orders!L$1,  products!$A$1:$G$1,0))</f>
        <v>2.9849999999999999</v>
      </c>
      <c r="M746" s="7">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 MATCH(orders!I$1,  products!$A$1:$G$1,0))</f>
        <v>Exc</v>
      </c>
      <c r="J747" t="str">
        <f>INDEX(products!$A$1:$G$49,MATCH(orders!$D747,products!$A$1:$A$49,0), MATCH(orders!J$1,  products!$A$1:$G$1,0))</f>
        <v>D</v>
      </c>
      <c r="K747" s="4">
        <f>INDEX(products!$A$1:$G$49,MATCH(orders!$D747,products!$A$1:$A$49,0), MATCH(orders!K$1,  products!$A$1:$G$1,0))</f>
        <v>0.5</v>
      </c>
      <c r="L747" s="7">
        <f>INDEX(products!$A$1:$G$49,MATCH(orders!$D747,products!$A$1:$A$49,0), MATCH(orders!L$1,  products!$A$1:$G$1,0))</f>
        <v>7.29</v>
      </c>
      <c r="M747" s="7">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 MATCH(orders!I$1,  products!$A$1:$G$1,0))</f>
        <v>Ara</v>
      </c>
      <c r="J748" t="str">
        <f>INDEX(products!$A$1:$G$49,MATCH(orders!$D748,products!$A$1:$A$49,0), MATCH(orders!J$1,  products!$A$1:$G$1,0))</f>
        <v>M</v>
      </c>
      <c r="K748" s="4">
        <f>INDEX(products!$A$1:$G$49,MATCH(orders!$D748,products!$A$1:$A$49,0), MATCH(orders!K$1,  products!$A$1:$G$1,0))</f>
        <v>1</v>
      </c>
      <c r="L748" s="7">
        <f>INDEX(products!$A$1:$G$49,MATCH(orders!$D748,products!$A$1:$A$49,0), MATCH(orders!L$1,  products!$A$1:$G$1,0))</f>
        <v>11.25</v>
      </c>
      <c r="M748" s="7">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 MATCH(orders!I$1,  products!$A$1:$G$1,0))</f>
        <v>Lib</v>
      </c>
      <c r="J749" t="str">
        <f>INDEX(products!$A$1:$G$49,MATCH(orders!$D749,products!$A$1:$A$49,0), MATCH(orders!J$1,  products!$A$1:$G$1,0))</f>
        <v>M</v>
      </c>
      <c r="K749" s="4">
        <f>INDEX(products!$A$1:$G$49,MATCH(orders!$D749,products!$A$1:$A$49,0), MATCH(orders!K$1,  products!$A$1:$G$1,0))</f>
        <v>0.5</v>
      </c>
      <c r="L749" s="7">
        <f>INDEX(products!$A$1:$G$49,MATCH(orders!$D749,products!$A$1:$A$49,0), MATCH(orders!L$1,  products!$A$1:$G$1,0))</f>
        <v>8.73</v>
      </c>
      <c r="M749" s="7">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 MATCH(orders!I$1,  products!$A$1:$G$1,0))</f>
        <v>Exc</v>
      </c>
      <c r="J750" t="str">
        <f>INDEX(products!$A$1:$G$49,MATCH(orders!$D750,products!$A$1:$A$49,0), MATCH(orders!J$1,  products!$A$1:$G$1,0))</f>
        <v>D</v>
      </c>
      <c r="K750" s="4">
        <f>INDEX(products!$A$1:$G$49,MATCH(orders!$D750,products!$A$1:$A$49,0), MATCH(orders!K$1,  products!$A$1:$G$1,0))</f>
        <v>0.5</v>
      </c>
      <c r="L750" s="7">
        <f>INDEX(products!$A$1:$G$49,MATCH(orders!$D750,products!$A$1:$A$49,0), MATCH(orders!L$1,  products!$A$1:$G$1,0))</f>
        <v>7.29</v>
      </c>
      <c r="M750" s="7">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 MATCH(orders!I$1,  products!$A$1:$G$1,0))</f>
        <v>Rob</v>
      </c>
      <c r="J751" t="str">
        <f>INDEX(products!$A$1:$G$49,MATCH(orders!$D751,products!$A$1:$A$49,0), MATCH(orders!J$1,  products!$A$1:$G$1,0))</f>
        <v>D</v>
      </c>
      <c r="K751" s="4">
        <f>INDEX(products!$A$1:$G$49,MATCH(orders!$D751,products!$A$1:$A$49,0), MATCH(orders!K$1,  products!$A$1:$G$1,0))</f>
        <v>0.2</v>
      </c>
      <c r="L751" s="7">
        <f>INDEX(products!$A$1:$G$49,MATCH(orders!$D751,products!$A$1:$A$49,0), MATCH(orders!L$1,  products!$A$1:$G$1,0))</f>
        <v>2.6849999999999996</v>
      </c>
      <c r="M751" s="7">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 MATCH(orders!I$1,  products!$A$1:$G$1,0))</f>
        <v>Rob</v>
      </c>
      <c r="J752" t="str">
        <f>INDEX(products!$A$1:$G$49,MATCH(orders!$D752,products!$A$1:$A$49,0), MATCH(orders!J$1,  products!$A$1:$G$1,0))</f>
        <v>M</v>
      </c>
      <c r="K752" s="4">
        <f>INDEX(products!$A$1:$G$49,MATCH(orders!$D752,products!$A$1:$A$49,0), MATCH(orders!K$1,  products!$A$1:$G$1,0))</f>
        <v>0.5</v>
      </c>
      <c r="L752" s="7">
        <f>INDEX(products!$A$1:$G$49,MATCH(orders!$D752,products!$A$1:$A$49,0), MATCH(orders!L$1,  products!$A$1:$G$1,0))</f>
        <v>5.97</v>
      </c>
      <c r="M752" s="7">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 MATCH(orders!I$1,  products!$A$1:$G$1,0))</f>
        <v>Lib</v>
      </c>
      <c r="J753" t="str">
        <f>INDEX(products!$A$1:$G$49,MATCH(orders!$D753,products!$A$1:$A$49,0), MATCH(orders!J$1,  products!$A$1:$G$1,0))</f>
        <v>L</v>
      </c>
      <c r="K753" s="4">
        <f>INDEX(products!$A$1:$G$49,MATCH(orders!$D753,products!$A$1:$A$49,0), MATCH(orders!K$1,  products!$A$1:$G$1,0))</f>
        <v>0.5</v>
      </c>
      <c r="L753" s="7">
        <f>INDEX(products!$A$1:$G$49,MATCH(orders!$D753,products!$A$1:$A$49,0), MATCH(orders!L$1,  products!$A$1:$G$1,0))</f>
        <v>9.51</v>
      </c>
      <c r="M753" s="7">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 MATCH(orders!I$1,  products!$A$1:$G$1,0))</f>
        <v>Exc</v>
      </c>
      <c r="J754" t="str">
        <f>INDEX(products!$A$1:$G$49,MATCH(orders!$D754,products!$A$1:$A$49,0), MATCH(orders!J$1,  products!$A$1:$G$1,0))</f>
        <v>M</v>
      </c>
      <c r="K754" s="4">
        <f>INDEX(products!$A$1:$G$49,MATCH(orders!$D754,products!$A$1:$A$49,0), MATCH(orders!K$1,  products!$A$1:$G$1,0))</f>
        <v>1</v>
      </c>
      <c r="L754" s="7">
        <f>INDEX(products!$A$1:$G$49,MATCH(orders!$D754,products!$A$1:$A$49,0), MATCH(orders!L$1,  products!$A$1:$G$1,0))</f>
        <v>13.75</v>
      </c>
      <c r="M754" s="7">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 MATCH(orders!I$1,  products!$A$1:$G$1,0))</f>
        <v>Ara</v>
      </c>
      <c r="J755" t="str">
        <f>INDEX(products!$A$1:$G$49,MATCH(orders!$D755,products!$A$1:$A$49,0), MATCH(orders!J$1,  products!$A$1:$G$1,0))</f>
        <v>D</v>
      </c>
      <c r="K755" s="4">
        <f>INDEX(products!$A$1:$G$49,MATCH(orders!$D755,products!$A$1:$A$49,0), MATCH(orders!K$1,  products!$A$1:$G$1,0))</f>
        <v>0.5</v>
      </c>
      <c r="L755" s="7">
        <f>INDEX(products!$A$1:$G$49,MATCH(orders!$D755,products!$A$1:$A$49,0), MATCH(orders!L$1,  products!$A$1:$G$1,0))</f>
        <v>5.97</v>
      </c>
      <c r="M755" s="7">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 MATCH(orders!I$1,  products!$A$1:$G$1,0))</f>
        <v>Ara</v>
      </c>
      <c r="J756" t="str">
        <f>INDEX(products!$A$1:$G$49,MATCH(orders!$D756,products!$A$1:$A$49,0), MATCH(orders!J$1,  products!$A$1:$G$1,0))</f>
        <v>D</v>
      </c>
      <c r="K756" s="4">
        <f>INDEX(products!$A$1:$G$49,MATCH(orders!$D756,products!$A$1:$A$49,0), MATCH(orders!K$1,  products!$A$1:$G$1,0))</f>
        <v>0.2</v>
      </c>
      <c r="L756" s="7">
        <f>INDEX(products!$A$1:$G$49,MATCH(orders!$D756,products!$A$1:$A$49,0), MATCH(orders!L$1,  products!$A$1:$G$1,0))</f>
        <v>2.9849999999999999</v>
      </c>
      <c r="M756" s="7">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 MATCH(orders!I$1,  products!$A$1:$G$1,0))</f>
        <v>Lib</v>
      </c>
      <c r="J757" t="str">
        <f>INDEX(products!$A$1:$G$49,MATCH(orders!$D757,products!$A$1:$A$49,0), MATCH(orders!J$1,  products!$A$1:$G$1,0))</f>
        <v>L</v>
      </c>
      <c r="K757" s="4">
        <f>INDEX(products!$A$1:$G$49,MATCH(orders!$D757,products!$A$1:$A$49,0), MATCH(orders!K$1,  products!$A$1:$G$1,0))</f>
        <v>0.2</v>
      </c>
      <c r="L757" s="7">
        <f>INDEX(products!$A$1:$G$49,MATCH(orders!$D757,products!$A$1:$A$49,0), MATCH(orders!L$1,  products!$A$1:$G$1,0))</f>
        <v>4.7549999999999999</v>
      </c>
      <c r="M757" s="7">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 MATCH(orders!I$1,  products!$A$1:$G$1,0))</f>
        <v>Rob</v>
      </c>
      <c r="J758" t="str">
        <f>INDEX(products!$A$1:$G$49,MATCH(orders!$D758,products!$A$1:$A$49,0), MATCH(orders!J$1,  products!$A$1:$G$1,0))</f>
        <v>D</v>
      </c>
      <c r="K758" s="4">
        <f>INDEX(products!$A$1:$G$49,MATCH(orders!$D758,products!$A$1:$A$49,0), MATCH(orders!K$1,  products!$A$1:$G$1,0))</f>
        <v>1</v>
      </c>
      <c r="L758" s="7">
        <f>INDEX(products!$A$1:$G$49,MATCH(orders!$D758,products!$A$1:$A$49,0), MATCH(orders!L$1,  products!$A$1:$G$1,0))</f>
        <v>8.9499999999999993</v>
      </c>
      <c r="M758" s="7">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 MATCH(orders!I$1,  products!$A$1:$G$1,0))</f>
        <v>Ara</v>
      </c>
      <c r="J759" t="str">
        <f>INDEX(products!$A$1:$G$49,MATCH(orders!$D759,products!$A$1:$A$49,0), MATCH(orders!J$1,  products!$A$1:$G$1,0))</f>
        <v>D</v>
      </c>
      <c r="K759" s="4">
        <f>INDEX(products!$A$1:$G$49,MATCH(orders!$D759,products!$A$1:$A$49,0), MATCH(orders!K$1,  products!$A$1:$G$1,0))</f>
        <v>0.5</v>
      </c>
      <c r="L759" s="7">
        <f>INDEX(products!$A$1:$G$49,MATCH(orders!$D759,products!$A$1:$A$49,0), MATCH(orders!L$1,  products!$A$1:$G$1,0))</f>
        <v>5.97</v>
      </c>
      <c r="M759" s="7">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 MATCH(orders!I$1,  products!$A$1:$G$1,0))</f>
        <v>Rob</v>
      </c>
      <c r="J760" t="str">
        <f>INDEX(products!$A$1:$G$49,MATCH(orders!$D760,products!$A$1:$A$49,0), MATCH(orders!J$1,  products!$A$1:$G$1,0))</f>
        <v>D</v>
      </c>
      <c r="K760" s="4">
        <f>INDEX(products!$A$1:$G$49,MATCH(orders!$D760,products!$A$1:$A$49,0), MATCH(orders!K$1,  products!$A$1:$G$1,0))</f>
        <v>1</v>
      </c>
      <c r="L760" s="7">
        <f>INDEX(products!$A$1:$G$49,MATCH(orders!$D760,products!$A$1:$A$49,0), MATCH(orders!L$1,  products!$A$1:$G$1,0))</f>
        <v>8.9499999999999993</v>
      </c>
      <c r="M760" s="7">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 MATCH(orders!I$1,  products!$A$1:$G$1,0))</f>
        <v>Lib</v>
      </c>
      <c r="J761" t="str">
        <f>INDEX(products!$A$1:$G$49,MATCH(orders!$D761,products!$A$1:$A$49,0), MATCH(orders!J$1,  products!$A$1:$G$1,0))</f>
        <v>D</v>
      </c>
      <c r="K761" s="4">
        <f>INDEX(products!$A$1:$G$49,MATCH(orders!$D761,products!$A$1:$A$49,0), MATCH(orders!K$1,  products!$A$1:$G$1,0))</f>
        <v>2.5</v>
      </c>
      <c r="L761" s="7">
        <f>INDEX(products!$A$1:$G$49,MATCH(orders!$D761,products!$A$1:$A$49,0), MATCH(orders!L$1,  products!$A$1:$G$1,0))</f>
        <v>29.784999999999997</v>
      </c>
      <c r="M761" s="7">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 MATCH(orders!I$1,  products!$A$1:$G$1,0))</f>
        <v>Exc</v>
      </c>
      <c r="J762" t="str">
        <f>INDEX(products!$A$1:$G$49,MATCH(orders!$D762,products!$A$1:$A$49,0), MATCH(orders!J$1,  products!$A$1:$G$1,0))</f>
        <v>L</v>
      </c>
      <c r="K762" s="4">
        <f>INDEX(products!$A$1:$G$49,MATCH(orders!$D762,products!$A$1:$A$49,0), MATCH(orders!K$1,  products!$A$1:$G$1,0))</f>
        <v>0.5</v>
      </c>
      <c r="L762" s="7">
        <f>INDEX(products!$A$1:$G$49,MATCH(orders!$D762,products!$A$1:$A$49,0), MATCH(orders!L$1,  products!$A$1:$G$1,0))</f>
        <v>8.91</v>
      </c>
      <c r="M762" s="7">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 MATCH(orders!I$1,  products!$A$1:$G$1,0))</f>
        <v>Exc</v>
      </c>
      <c r="J763" t="str">
        <f>INDEX(products!$A$1:$G$49,MATCH(orders!$D763,products!$A$1:$A$49,0), MATCH(orders!J$1,  products!$A$1:$G$1,0))</f>
        <v>L</v>
      </c>
      <c r="K763" s="4">
        <f>INDEX(products!$A$1:$G$49,MATCH(orders!$D763,products!$A$1:$A$49,0), MATCH(orders!K$1,  products!$A$1:$G$1,0))</f>
        <v>1</v>
      </c>
      <c r="L763" s="7">
        <f>INDEX(products!$A$1:$G$49,MATCH(orders!$D763,products!$A$1:$A$49,0), MATCH(orders!L$1,  products!$A$1:$G$1,0))</f>
        <v>14.85</v>
      </c>
      <c r="M763" s="7">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 MATCH(orders!I$1,  products!$A$1:$G$1,0))</f>
        <v>Lib</v>
      </c>
      <c r="J764" t="str">
        <f>INDEX(products!$A$1:$G$49,MATCH(orders!$D764,products!$A$1:$A$49,0), MATCH(orders!J$1,  products!$A$1:$G$1,0))</f>
        <v>M</v>
      </c>
      <c r="K764" s="4">
        <f>INDEX(products!$A$1:$G$49,MATCH(orders!$D764,products!$A$1:$A$49,0), MATCH(orders!K$1,  products!$A$1:$G$1,0))</f>
        <v>0.5</v>
      </c>
      <c r="L764" s="7">
        <f>INDEX(products!$A$1:$G$49,MATCH(orders!$D764,products!$A$1:$A$49,0), MATCH(orders!L$1,  products!$A$1:$G$1,0))</f>
        <v>8.73</v>
      </c>
      <c r="M764" s="7">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 MATCH(orders!I$1,  products!$A$1:$G$1,0))</f>
        <v>Ara</v>
      </c>
      <c r="J765" t="str">
        <f>INDEX(products!$A$1:$G$49,MATCH(orders!$D765,products!$A$1:$A$49,0), MATCH(orders!J$1,  products!$A$1:$G$1,0))</f>
        <v>L</v>
      </c>
      <c r="K765" s="4">
        <f>INDEX(products!$A$1:$G$49,MATCH(orders!$D765,products!$A$1:$A$49,0), MATCH(orders!K$1,  products!$A$1:$G$1,0))</f>
        <v>0.5</v>
      </c>
      <c r="L765" s="7">
        <f>INDEX(products!$A$1:$G$49,MATCH(orders!$D765,products!$A$1:$A$49,0), MATCH(orders!L$1,  products!$A$1:$G$1,0))</f>
        <v>7.77</v>
      </c>
      <c r="M765" s="7">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 MATCH(orders!I$1,  products!$A$1:$G$1,0))</f>
        <v>Ara</v>
      </c>
      <c r="J766" t="str">
        <f>INDEX(products!$A$1:$G$49,MATCH(orders!$D766,products!$A$1:$A$49,0), MATCH(orders!J$1,  products!$A$1:$G$1,0))</f>
        <v>L</v>
      </c>
      <c r="K766" s="4">
        <f>INDEX(products!$A$1:$G$49,MATCH(orders!$D766,products!$A$1:$A$49,0), MATCH(orders!K$1,  products!$A$1:$G$1,0))</f>
        <v>2.5</v>
      </c>
      <c r="L766" s="7">
        <f>INDEX(products!$A$1:$G$49,MATCH(orders!$D766,products!$A$1:$A$49,0), MATCH(orders!L$1,  products!$A$1:$G$1,0))</f>
        <v>29.784999999999997</v>
      </c>
      <c r="M766" s="7">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 MATCH(orders!I$1,  products!$A$1:$G$1,0))</f>
        <v>Rob</v>
      </c>
      <c r="J767" t="str">
        <f>INDEX(products!$A$1:$G$49,MATCH(orders!$D767,products!$A$1:$A$49,0), MATCH(orders!J$1,  products!$A$1:$G$1,0))</f>
        <v>M</v>
      </c>
      <c r="K767" s="4">
        <f>INDEX(products!$A$1:$G$49,MATCH(orders!$D767,products!$A$1:$A$49,0), MATCH(orders!K$1,  products!$A$1:$G$1,0))</f>
        <v>1</v>
      </c>
      <c r="L767" s="7">
        <f>INDEX(products!$A$1:$G$49,MATCH(orders!$D767,products!$A$1:$A$49,0), MATCH(orders!L$1,  products!$A$1:$G$1,0))</f>
        <v>9.9499999999999993</v>
      </c>
      <c r="M767" s="7">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 MATCH(orders!I$1,  products!$A$1:$G$1,0))</f>
        <v>Ara</v>
      </c>
      <c r="J768" t="str">
        <f>INDEX(products!$A$1:$G$49,MATCH(orders!$D768,products!$A$1:$A$49,0), MATCH(orders!J$1,  products!$A$1:$G$1,0))</f>
        <v>L</v>
      </c>
      <c r="K768" s="4">
        <f>INDEX(products!$A$1:$G$49,MATCH(orders!$D768,products!$A$1:$A$49,0), MATCH(orders!K$1,  products!$A$1:$G$1,0))</f>
        <v>0.5</v>
      </c>
      <c r="L768" s="7">
        <f>INDEX(products!$A$1:$G$49,MATCH(orders!$D768,products!$A$1:$A$49,0), MATCH(orders!L$1,  products!$A$1:$G$1,0))</f>
        <v>7.77</v>
      </c>
      <c r="M768" s="7">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 MATCH(orders!I$1,  products!$A$1:$G$1,0))</f>
        <v>Ara</v>
      </c>
      <c r="J769" t="str">
        <f>INDEX(products!$A$1:$G$49,MATCH(orders!$D769,products!$A$1:$A$49,0), MATCH(orders!J$1,  products!$A$1:$G$1,0))</f>
        <v>L</v>
      </c>
      <c r="K769" s="4">
        <f>INDEX(products!$A$1:$G$49,MATCH(orders!$D769,products!$A$1:$A$49,0), MATCH(orders!K$1,  products!$A$1:$G$1,0))</f>
        <v>2.5</v>
      </c>
      <c r="L769" s="7">
        <f>INDEX(products!$A$1:$G$49,MATCH(orders!$D769,products!$A$1:$A$49,0), MATCH(orders!L$1,  products!$A$1:$G$1,0))</f>
        <v>29.784999999999997</v>
      </c>
      <c r="M769" s="7">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 MATCH(orders!I$1,  products!$A$1:$G$1,0))</f>
        <v>Rob</v>
      </c>
      <c r="J770" t="str">
        <f>INDEX(products!$A$1:$G$49,MATCH(orders!$D770,products!$A$1:$A$49,0), MATCH(orders!J$1,  products!$A$1:$G$1,0))</f>
        <v>L</v>
      </c>
      <c r="K770" s="4">
        <f>INDEX(products!$A$1:$G$49,MATCH(orders!$D770,products!$A$1:$A$49,0), MATCH(orders!K$1,  products!$A$1:$G$1,0))</f>
        <v>1</v>
      </c>
      <c r="L770" s="7">
        <f>INDEX(products!$A$1:$G$49,MATCH(orders!$D770,products!$A$1:$A$49,0), MATCH(orders!L$1,  products!$A$1:$G$1,0))</f>
        <v>11.95</v>
      </c>
      <c r="M770" s="7">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 MATCH(orders!I$1,  products!$A$1:$G$1,0))</f>
        <v>Rob</v>
      </c>
      <c r="J771" t="str">
        <f>INDEX(products!$A$1:$G$49,MATCH(orders!$D771,products!$A$1:$A$49,0), MATCH(orders!J$1,  products!$A$1:$G$1,0))</f>
        <v>M</v>
      </c>
      <c r="K771" s="4">
        <f>INDEX(products!$A$1:$G$49,MATCH(orders!$D771,products!$A$1:$A$49,0), MATCH(orders!K$1,  products!$A$1:$G$1,0))</f>
        <v>2.5</v>
      </c>
      <c r="L771" s="7">
        <f>INDEX(products!$A$1:$G$49,MATCH(orders!$D771,products!$A$1:$A$49,0), MATCH(orders!L$1,  products!$A$1:$G$1,0))</f>
        <v>22.884999999999998</v>
      </c>
      <c r="M771" s="7">
        <f t="shared" ref="M771:M834" si="36">L771*E771</f>
        <v>137.31</v>
      </c>
      <c r="N771" t="str">
        <f t="shared" ref="N771:N834" si="37">IF(I771="Rob","Robusta", IF(I771="Exc","Excelsa", IF(I771="Ara", "Arabica", IF(I771="Lib", "Liberica", ""))))</f>
        <v>Robusta</v>
      </c>
      <c r="O771" t="str">
        <f t="shared" ref="O771:O834" si="38">IF(J771="M", "Medium", IF(J771="L", "Light",IF(J771="D","Dark","")))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 MATCH(orders!I$1,  products!$A$1:$G$1,0))</f>
        <v>Ara</v>
      </c>
      <c r="J772" t="str">
        <f>INDEX(products!$A$1:$G$49,MATCH(orders!$D772,products!$A$1:$A$49,0), MATCH(orders!J$1,  products!$A$1:$G$1,0))</f>
        <v>D</v>
      </c>
      <c r="K772" s="4">
        <f>INDEX(products!$A$1:$G$49,MATCH(orders!$D772,products!$A$1:$A$49,0), MATCH(orders!K$1,  products!$A$1:$G$1,0))</f>
        <v>1</v>
      </c>
      <c r="L772" s="7">
        <f>INDEX(products!$A$1:$G$49,MATCH(orders!$D772,products!$A$1:$A$49,0), MATCH(orders!L$1,  products!$A$1:$G$1,0))</f>
        <v>9.9499999999999993</v>
      </c>
      <c r="M772" s="7">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 MATCH(orders!I$1,  products!$A$1:$G$1,0))</f>
        <v>Rob</v>
      </c>
      <c r="J773" t="str">
        <f>INDEX(products!$A$1:$G$49,MATCH(orders!$D773,products!$A$1:$A$49,0), MATCH(orders!J$1,  products!$A$1:$G$1,0))</f>
        <v>L</v>
      </c>
      <c r="K773" s="4">
        <f>INDEX(products!$A$1:$G$49,MATCH(orders!$D773,products!$A$1:$A$49,0), MATCH(orders!K$1,  products!$A$1:$G$1,0))</f>
        <v>0.5</v>
      </c>
      <c r="L773" s="7">
        <f>INDEX(products!$A$1:$G$49,MATCH(orders!$D773,products!$A$1:$A$49,0), MATCH(orders!L$1,  products!$A$1:$G$1,0))</f>
        <v>7.169999999999999</v>
      </c>
      <c r="M773" s="7">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 MATCH(orders!I$1,  products!$A$1:$G$1,0))</f>
        <v>Exc</v>
      </c>
      <c r="J774" t="str">
        <f>INDEX(products!$A$1:$G$49,MATCH(orders!$D774,products!$A$1:$A$49,0), MATCH(orders!J$1,  products!$A$1:$G$1,0))</f>
        <v>M</v>
      </c>
      <c r="K774" s="4">
        <f>INDEX(products!$A$1:$G$49,MATCH(orders!$D774,products!$A$1:$A$49,0), MATCH(orders!K$1,  products!$A$1:$G$1,0))</f>
        <v>1</v>
      </c>
      <c r="L774" s="7">
        <f>INDEX(products!$A$1:$G$49,MATCH(orders!$D774,products!$A$1:$A$49,0), MATCH(orders!L$1,  products!$A$1:$G$1,0))</f>
        <v>13.75</v>
      </c>
      <c r="M774" s="7">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 MATCH(orders!I$1,  products!$A$1:$G$1,0))</f>
        <v>Lib</v>
      </c>
      <c r="J775" t="str">
        <f>INDEX(products!$A$1:$G$49,MATCH(orders!$D775,products!$A$1:$A$49,0), MATCH(orders!J$1,  products!$A$1:$G$1,0))</f>
        <v>M</v>
      </c>
      <c r="K775" s="4">
        <f>INDEX(products!$A$1:$G$49,MATCH(orders!$D775,products!$A$1:$A$49,0), MATCH(orders!K$1,  products!$A$1:$G$1,0))</f>
        <v>0.2</v>
      </c>
      <c r="L775" s="7">
        <f>INDEX(products!$A$1:$G$49,MATCH(orders!$D775,products!$A$1:$A$49,0), MATCH(orders!L$1,  products!$A$1:$G$1,0))</f>
        <v>4.3650000000000002</v>
      </c>
      <c r="M775" s="7">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 MATCH(orders!I$1,  products!$A$1:$G$1,0))</f>
        <v>Rob</v>
      </c>
      <c r="J776" t="str">
        <f>INDEX(products!$A$1:$G$49,MATCH(orders!$D776,products!$A$1:$A$49,0), MATCH(orders!J$1,  products!$A$1:$G$1,0))</f>
        <v>M</v>
      </c>
      <c r="K776" s="4">
        <f>INDEX(products!$A$1:$G$49,MATCH(orders!$D776,products!$A$1:$A$49,0), MATCH(orders!K$1,  products!$A$1:$G$1,0))</f>
        <v>1</v>
      </c>
      <c r="L776" s="7">
        <f>INDEX(products!$A$1:$G$49,MATCH(orders!$D776,products!$A$1:$A$49,0), MATCH(orders!L$1,  products!$A$1:$G$1,0))</f>
        <v>9.9499999999999993</v>
      </c>
      <c r="M776" s="7">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 MATCH(orders!I$1,  products!$A$1:$G$1,0))</f>
        <v>Exc</v>
      </c>
      <c r="J777" t="str">
        <f>INDEX(products!$A$1:$G$49,MATCH(orders!$D777,products!$A$1:$A$49,0), MATCH(orders!J$1,  products!$A$1:$G$1,0))</f>
        <v>L</v>
      </c>
      <c r="K777" s="4">
        <f>INDEX(products!$A$1:$G$49,MATCH(orders!$D777,products!$A$1:$A$49,0), MATCH(orders!K$1,  products!$A$1:$G$1,0))</f>
        <v>0.5</v>
      </c>
      <c r="L777" s="7">
        <f>INDEX(products!$A$1:$G$49,MATCH(orders!$D777,products!$A$1:$A$49,0), MATCH(orders!L$1,  products!$A$1:$G$1,0))</f>
        <v>8.91</v>
      </c>
      <c r="M777" s="7">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 MATCH(orders!I$1,  products!$A$1:$G$1,0))</f>
        <v>Ara</v>
      </c>
      <c r="J778" t="str">
        <f>INDEX(products!$A$1:$G$49,MATCH(orders!$D778,products!$A$1:$A$49,0), MATCH(orders!J$1,  products!$A$1:$G$1,0))</f>
        <v>M</v>
      </c>
      <c r="K778" s="4">
        <f>INDEX(products!$A$1:$G$49,MATCH(orders!$D778,products!$A$1:$A$49,0), MATCH(orders!K$1,  products!$A$1:$G$1,0))</f>
        <v>0.5</v>
      </c>
      <c r="L778" s="7">
        <f>INDEX(products!$A$1:$G$49,MATCH(orders!$D778,products!$A$1:$A$49,0), MATCH(orders!L$1,  products!$A$1:$G$1,0))</f>
        <v>6.75</v>
      </c>
      <c r="M778" s="7">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 MATCH(orders!I$1,  products!$A$1:$G$1,0))</f>
        <v>Ara</v>
      </c>
      <c r="J779" t="str">
        <f>INDEX(products!$A$1:$G$49,MATCH(orders!$D779,products!$A$1:$A$49,0), MATCH(orders!J$1,  products!$A$1:$G$1,0))</f>
        <v>L</v>
      </c>
      <c r="K779" s="4">
        <f>INDEX(products!$A$1:$G$49,MATCH(orders!$D779,products!$A$1:$A$49,0), MATCH(orders!K$1,  products!$A$1:$G$1,0))</f>
        <v>2.5</v>
      </c>
      <c r="L779" s="7">
        <f>INDEX(products!$A$1:$G$49,MATCH(orders!$D779,products!$A$1:$A$49,0), MATCH(orders!L$1,  products!$A$1:$G$1,0))</f>
        <v>29.784999999999997</v>
      </c>
      <c r="M779" s="7">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 MATCH(orders!I$1,  products!$A$1:$G$1,0))</f>
        <v>Lib</v>
      </c>
      <c r="J780" t="str">
        <f>INDEX(products!$A$1:$G$49,MATCH(orders!$D780,products!$A$1:$A$49,0), MATCH(orders!J$1,  products!$A$1:$G$1,0))</f>
        <v>L</v>
      </c>
      <c r="K780" s="4">
        <f>INDEX(products!$A$1:$G$49,MATCH(orders!$D780,products!$A$1:$A$49,0), MATCH(orders!K$1,  products!$A$1:$G$1,0))</f>
        <v>0.5</v>
      </c>
      <c r="L780" s="7">
        <f>INDEX(products!$A$1:$G$49,MATCH(orders!$D780,products!$A$1:$A$49,0), MATCH(orders!L$1,  products!$A$1:$G$1,0))</f>
        <v>9.51</v>
      </c>
      <c r="M780" s="7">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 MATCH(orders!I$1,  products!$A$1:$G$1,0))</f>
        <v>Lib</v>
      </c>
      <c r="J781" t="str">
        <f>INDEX(products!$A$1:$G$49,MATCH(orders!$D781,products!$A$1:$A$49,0), MATCH(orders!J$1,  products!$A$1:$G$1,0))</f>
        <v>D</v>
      </c>
      <c r="K781" s="4">
        <f>INDEX(products!$A$1:$G$49,MATCH(orders!$D781,products!$A$1:$A$49,0), MATCH(orders!K$1,  products!$A$1:$G$1,0))</f>
        <v>1</v>
      </c>
      <c r="L781" s="7">
        <f>INDEX(products!$A$1:$G$49,MATCH(orders!$D781,products!$A$1:$A$49,0), MATCH(orders!L$1,  products!$A$1:$G$1,0))</f>
        <v>12.95</v>
      </c>
      <c r="M781" s="7">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 MATCH(orders!I$1,  products!$A$1:$G$1,0))</f>
        <v>Exc</v>
      </c>
      <c r="J782" t="str">
        <f>INDEX(products!$A$1:$G$49,MATCH(orders!$D782,products!$A$1:$A$49,0), MATCH(orders!J$1,  products!$A$1:$G$1,0))</f>
        <v>M</v>
      </c>
      <c r="K782" s="4">
        <f>INDEX(products!$A$1:$G$49,MATCH(orders!$D782,products!$A$1:$A$49,0), MATCH(orders!K$1,  products!$A$1:$G$1,0))</f>
        <v>1</v>
      </c>
      <c r="L782" s="7">
        <f>INDEX(products!$A$1:$G$49,MATCH(orders!$D782,products!$A$1:$A$49,0), MATCH(orders!L$1,  products!$A$1:$G$1,0))</f>
        <v>13.75</v>
      </c>
      <c r="M782" s="7">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 MATCH(orders!I$1,  products!$A$1:$G$1,0))</f>
        <v>Lib</v>
      </c>
      <c r="J783" t="str">
        <f>INDEX(products!$A$1:$G$49,MATCH(orders!$D783,products!$A$1:$A$49,0), MATCH(orders!J$1,  products!$A$1:$G$1,0))</f>
        <v>L</v>
      </c>
      <c r="K783" s="4">
        <f>INDEX(products!$A$1:$G$49,MATCH(orders!$D783,products!$A$1:$A$49,0), MATCH(orders!K$1,  products!$A$1:$G$1,0))</f>
        <v>2.5</v>
      </c>
      <c r="L783" s="7">
        <f>INDEX(products!$A$1:$G$49,MATCH(orders!$D783,products!$A$1:$A$49,0), MATCH(orders!L$1,  products!$A$1:$G$1,0))</f>
        <v>36.454999999999998</v>
      </c>
      <c r="M783" s="7">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 MATCH(orders!I$1,  products!$A$1:$G$1,0))</f>
        <v>Exc</v>
      </c>
      <c r="J784" t="str">
        <f>INDEX(products!$A$1:$G$49,MATCH(orders!$D784,products!$A$1:$A$49,0), MATCH(orders!J$1,  products!$A$1:$G$1,0))</f>
        <v>L</v>
      </c>
      <c r="K784" s="4">
        <f>INDEX(products!$A$1:$G$49,MATCH(orders!$D784,products!$A$1:$A$49,0), MATCH(orders!K$1,  products!$A$1:$G$1,0))</f>
        <v>0.2</v>
      </c>
      <c r="L784" s="7">
        <f>INDEX(products!$A$1:$G$49,MATCH(orders!$D784,products!$A$1:$A$49,0), MATCH(orders!L$1,  products!$A$1:$G$1,0))</f>
        <v>4.4550000000000001</v>
      </c>
      <c r="M784" s="7">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 MATCH(orders!I$1,  products!$A$1:$G$1,0))</f>
        <v>Lib</v>
      </c>
      <c r="J785" t="str">
        <f>INDEX(products!$A$1:$G$49,MATCH(orders!$D785,products!$A$1:$A$49,0), MATCH(orders!J$1,  products!$A$1:$G$1,0))</f>
        <v>M</v>
      </c>
      <c r="K785" s="4">
        <f>INDEX(products!$A$1:$G$49,MATCH(orders!$D785,products!$A$1:$A$49,0), MATCH(orders!K$1,  products!$A$1:$G$1,0))</f>
        <v>0.5</v>
      </c>
      <c r="L785" s="7">
        <f>INDEX(products!$A$1:$G$49,MATCH(orders!$D785,products!$A$1:$A$49,0), MATCH(orders!L$1,  products!$A$1:$G$1,0))</f>
        <v>8.73</v>
      </c>
      <c r="M785" s="7">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 MATCH(orders!I$1,  products!$A$1:$G$1,0))</f>
        <v>Lib</v>
      </c>
      <c r="J786" t="str">
        <f>INDEX(products!$A$1:$G$49,MATCH(orders!$D786,products!$A$1:$A$49,0), MATCH(orders!J$1,  products!$A$1:$G$1,0))</f>
        <v>L</v>
      </c>
      <c r="K786" s="4">
        <f>INDEX(products!$A$1:$G$49,MATCH(orders!$D786,products!$A$1:$A$49,0), MATCH(orders!K$1,  products!$A$1:$G$1,0))</f>
        <v>1</v>
      </c>
      <c r="L786" s="7">
        <f>INDEX(products!$A$1:$G$49,MATCH(orders!$D786,products!$A$1:$A$49,0), MATCH(orders!L$1,  products!$A$1:$G$1,0))</f>
        <v>15.85</v>
      </c>
      <c r="M786" s="7">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 MATCH(orders!I$1,  products!$A$1:$G$1,0))</f>
        <v>Ara</v>
      </c>
      <c r="J787" t="str">
        <f>INDEX(products!$A$1:$G$49,MATCH(orders!$D787,products!$A$1:$A$49,0), MATCH(orders!J$1,  products!$A$1:$G$1,0))</f>
        <v>D</v>
      </c>
      <c r="K787" s="4">
        <f>INDEX(products!$A$1:$G$49,MATCH(orders!$D787,products!$A$1:$A$49,0), MATCH(orders!K$1,  products!$A$1:$G$1,0))</f>
        <v>2.5</v>
      </c>
      <c r="L787" s="7">
        <f>INDEX(products!$A$1:$G$49,MATCH(orders!$D787,products!$A$1:$A$49,0), MATCH(orders!L$1,  products!$A$1:$G$1,0))</f>
        <v>22.884999999999998</v>
      </c>
      <c r="M787" s="7">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 MATCH(orders!I$1,  products!$A$1:$G$1,0))</f>
        <v>Exc</v>
      </c>
      <c r="J788" t="str">
        <f>INDEX(products!$A$1:$G$49,MATCH(orders!$D788,products!$A$1:$A$49,0), MATCH(orders!J$1,  products!$A$1:$G$1,0))</f>
        <v>D</v>
      </c>
      <c r="K788" s="4">
        <f>INDEX(products!$A$1:$G$49,MATCH(orders!$D788,products!$A$1:$A$49,0), MATCH(orders!K$1,  products!$A$1:$G$1,0))</f>
        <v>2.5</v>
      </c>
      <c r="L788" s="7">
        <f>INDEX(products!$A$1:$G$49,MATCH(orders!$D788,products!$A$1:$A$49,0), MATCH(orders!L$1,  products!$A$1:$G$1,0))</f>
        <v>27.945</v>
      </c>
      <c r="M788" s="7">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 MATCH(orders!I$1,  products!$A$1:$G$1,0))</f>
        <v>Exc</v>
      </c>
      <c r="J789" t="str">
        <f>INDEX(products!$A$1:$G$49,MATCH(orders!$D789,products!$A$1:$A$49,0), MATCH(orders!J$1,  products!$A$1:$G$1,0))</f>
        <v>M</v>
      </c>
      <c r="K789" s="4">
        <f>INDEX(products!$A$1:$G$49,MATCH(orders!$D789,products!$A$1:$A$49,0), MATCH(orders!K$1,  products!$A$1:$G$1,0))</f>
        <v>1</v>
      </c>
      <c r="L789" s="7">
        <f>INDEX(products!$A$1:$G$49,MATCH(orders!$D789,products!$A$1:$A$49,0), MATCH(orders!L$1,  products!$A$1:$G$1,0))</f>
        <v>13.75</v>
      </c>
      <c r="M789" s="7">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 MATCH(orders!I$1,  products!$A$1:$G$1,0))</f>
        <v>Rob</v>
      </c>
      <c r="J790" t="str">
        <f>INDEX(products!$A$1:$G$49,MATCH(orders!$D790,products!$A$1:$A$49,0), MATCH(orders!J$1,  products!$A$1:$G$1,0))</f>
        <v>M</v>
      </c>
      <c r="K790" s="4">
        <f>INDEX(products!$A$1:$G$49,MATCH(orders!$D790,products!$A$1:$A$49,0), MATCH(orders!K$1,  products!$A$1:$G$1,0))</f>
        <v>2.5</v>
      </c>
      <c r="L790" s="7">
        <f>INDEX(products!$A$1:$G$49,MATCH(orders!$D790,products!$A$1:$A$49,0), MATCH(orders!L$1,  products!$A$1:$G$1,0))</f>
        <v>22.884999999999998</v>
      </c>
      <c r="M790" s="7">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 MATCH(orders!I$1,  products!$A$1:$G$1,0))</f>
        <v>Ara</v>
      </c>
      <c r="J791" t="str">
        <f>INDEX(products!$A$1:$G$49,MATCH(orders!$D791,products!$A$1:$A$49,0), MATCH(orders!J$1,  products!$A$1:$G$1,0))</f>
        <v>L</v>
      </c>
      <c r="K791" s="4">
        <f>INDEX(products!$A$1:$G$49,MATCH(orders!$D791,products!$A$1:$A$49,0), MATCH(orders!K$1,  products!$A$1:$G$1,0))</f>
        <v>1</v>
      </c>
      <c r="L791" s="7">
        <f>INDEX(products!$A$1:$G$49,MATCH(orders!$D791,products!$A$1:$A$49,0), MATCH(orders!L$1,  products!$A$1:$G$1,0))</f>
        <v>12.95</v>
      </c>
      <c r="M791" s="7">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 MATCH(orders!I$1,  products!$A$1:$G$1,0))</f>
        <v>Ara</v>
      </c>
      <c r="J792" t="str">
        <f>INDEX(products!$A$1:$G$49,MATCH(orders!$D792,products!$A$1:$A$49,0), MATCH(orders!J$1,  products!$A$1:$G$1,0))</f>
        <v>L</v>
      </c>
      <c r="K792" s="4">
        <f>INDEX(products!$A$1:$G$49,MATCH(orders!$D792,products!$A$1:$A$49,0), MATCH(orders!K$1,  products!$A$1:$G$1,0))</f>
        <v>0.5</v>
      </c>
      <c r="L792" s="7">
        <f>INDEX(products!$A$1:$G$49,MATCH(orders!$D792,products!$A$1:$A$49,0), MATCH(orders!L$1,  products!$A$1:$G$1,0))</f>
        <v>7.77</v>
      </c>
      <c r="M792" s="7">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 MATCH(orders!I$1,  products!$A$1:$G$1,0))</f>
        <v>Lib</v>
      </c>
      <c r="J793" t="str">
        <f>INDEX(products!$A$1:$G$49,MATCH(orders!$D793,products!$A$1:$A$49,0), MATCH(orders!J$1,  products!$A$1:$G$1,0))</f>
        <v>L</v>
      </c>
      <c r="K793" s="4">
        <f>INDEX(products!$A$1:$G$49,MATCH(orders!$D793,products!$A$1:$A$49,0), MATCH(orders!K$1,  products!$A$1:$G$1,0))</f>
        <v>0.2</v>
      </c>
      <c r="L793" s="7">
        <f>INDEX(products!$A$1:$G$49,MATCH(orders!$D793,products!$A$1:$A$49,0), MATCH(orders!L$1,  products!$A$1:$G$1,0))</f>
        <v>4.7549999999999999</v>
      </c>
      <c r="M793" s="7">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 MATCH(orders!I$1,  products!$A$1:$G$1,0))</f>
        <v>Lib</v>
      </c>
      <c r="J794" t="str">
        <f>INDEX(products!$A$1:$G$49,MATCH(orders!$D794,products!$A$1:$A$49,0), MATCH(orders!J$1,  products!$A$1:$G$1,0))</f>
        <v>M</v>
      </c>
      <c r="K794" s="4">
        <f>INDEX(products!$A$1:$G$49,MATCH(orders!$D794,products!$A$1:$A$49,0), MATCH(orders!K$1,  products!$A$1:$G$1,0))</f>
        <v>0.5</v>
      </c>
      <c r="L794" s="7">
        <f>INDEX(products!$A$1:$G$49,MATCH(orders!$D794,products!$A$1:$A$49,0), MATCH(orders!L$1,  products!$A$1:$G$1,0))</f>
        <v>8.73</v>
      </c>
      <c r="M794" s="7">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 MATCH(orders!I$1,  products!$A$1:$G$1,0))</f>
        <v>Rob</v>
      </c>
      <c r="J795" t="str">
        <f>INDEX(products!$A$1:$G$49,MATCH(orders!$D795,products!$A$1:$A$49,0), MATCH(orders!J$1,  products!$A$1:$G$1,0))</f>
        <v>L</v>
      </c>
      <c r="K795" s="4">
        <f>INDEX(products!$A$1:$G$49,MATCH(orders!$D795,products!$A$1:$A$49,0), MATCH(orders!K$1,  products!$A$1:$G$1,0))</f>
        <v>0.2</v>
      </c>
      <c r="L795" s="7">
        <f>INDEX(products!$A$1:$G$49,MATCH(orders!$D795,products!$A$1:$A$49,0), MATCH(orders!L$1,  products!$A$1:$G$1,0))</f>
        <v>3.5849999999999995</v>
      </c>
      <c r="M795" s="7">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 MATCH(orders!I$1,  products!$A$1:$G$1,0))</f>
        <v>Ara</v>
      </c>
      <c r="J796" t="str">
        <f>INDEX(products!$A$1:$G$49,MATCH(orders!$D796,products!$A$1:$A$49,0), MATCH(orders!J$1,  products!$A$1:$G$1,0))</f>
        <v>L</v>
      </c>
      <c r="K796" s="4">
        <f>INDEX(products!$A$1:$G$49,MATCH(orders!$D796,products!$A$1:$A$49,0), MATCH(orders!K$1,  products!$A$1:$G$1,0))</f>
        <v>2.5</v>
      </c>
      <c r="L796" s="7">
        <f>INDEX(products!$A$1:$G$49,MATCH(orders!$D796,products!$A$1:$A$49,0), MATCH(orders!L$1,  products!$A$1:$G$1,0))</f>
        <v>29.784999999999997</v>
      </c>
      <c r="M796" s="7">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 MATCH(orders!I$1,  products!$A$1:$G$1,0))</f>
        <v>Rob</v>
      </c>
      <c r="J797" t="str">
        <f>INDEX(products!$A$1:$G$49,MATCH(orders!$D797,products!$A$1:$A$49,0), MATCH(orders!J$1,  products!$A$1:$G$1,0))</f>
        <v>L</v>
      </c>
      <c r="K797" s="4">
        <f>INDEX(products!$A$1:$G$49,MATCH(orders!$D797,products!$A$1:$A$49,0), MATCH(orders!K$1,  products!$A$1:$G$1,0))</f>
        <v>0.5</v>
      </c>
      <c r="L797" s="7">
        <f>INDEX(products!$A$1:$G$49,MATCH(orders!$D797,products!$A$1:$A$49,0), MATCH(orders!L$1,  products!$A$1:$G$1,0))</f>
        <v>7.169999999999999</v>
      </c>
      <c r="M797" s="7">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 MATCH(orders!I$1,  products!$A$1:$G$1,0))</f>
        <v>Lib</v>
      </c>
      <c r="J798" t="str">
        <f>INDEX(products!$A$1:$G$49,MATCH(orders!$D798,products!$A$1:$A$49,0), MATCH(orders!J$1,  products!$A$1:$G$1,0))</f>
        <v>L</v>
      </c>
      <c r="K798" s="4">
        <f>INDEX(products!$A$1:$G$49,MATCH(orders!$D798,products!$A$1:$A$49,0), MATCH(orders!K$1,  products!$A$1:$G$1,0))</f>
        <v>0.5</v>
      </c>
      <c r="L798" s="7">
        <f>INDEX(products!$A$1:$G$49,MATCH(orders!$D798,products!$A$1:$A$49,0), MATCH(orders!L$1,  products!$A$1:$G$1,0))</f>
        <v>9.51</v>
      </c>
      <c r="M798" s="7">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 MATCH(orders!I$1,  products!$A$1:$G$1,0))</f>
        <v>Ara</v>
      </c>
      <c r="J799" t="str">
        <f>INDEX(products!$A$1:$G$49,MATCH(orders!$D799,products!$A$1:$A$49,0), MATCH(orders!J$1,  products!$A$1:$G$1,0))</f>
        <v>L</v>
      </c>
      <c r="K799" s="4">
        <f>INDEX(products!$A$1:$G$49,MATCH(orders!$D799,products!$A$1:$A$49,0), MATCH(orders!K$1,  products!$A$1:$G$1,0))</f>
        <v>0.5</v>
      </c>
      <c r="L799" s="7">
        <f>INDEX(products!$A$1:$G$49,MATCH(orders!$D799,products!$A$1:$A$49,0), MATCH(orders!L$1,  products!$A$1:$G$1,0))</f>
        <v>7.77</v>
      </c>
      <c r="M799" s="7">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 MATCH(orders!I$1,  products!$A$1:$G$1,0))</f>
        <v>Rob</v>
      </c>
      <c r="J800" t="str">
        <f>INDEX(products!$A$1:$G$49,MATCH(orders!$D800,products!$A$1:$A$49,0), MATCH(orders!J$1,  products!$A$1:$G$1,0))</f>
        <v>D</v>
      </c>
      <c r="K800" s="4">
        <f>INDEX(products!$A$1:$G$49,MATCH(orders!$D800,products!$A$1:$A$49,0), MATCH(orders!K$1,  products!$A$1:$G$1,0))</f>
        <v>0.2</v>
      </c>
      <c r="L800" s="7">
        <f>INDEX(products!$A$1:$G$49,MATCH(orders!$D800,products!$A$1:$A$49,0), MATCH(orders!L$1,  products!$A$1:$G$1,0))</f>
        <v>2.6849999999999996</v>
      </c>
      <c r="M800" s="7">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 MATCH(orders!I$1,  products!$A$1:$G$1,0))</f>
        <v>Exc</v>
      </c>
      <c r="J801" t="str">
        <f>INDEX(products!$A$1:$G$49,MATCH(orders!$D801,products!$A$1:$A$49,0), MATCH(orders!J$1,  products!$A$1:$G$1,0))</f>
        <v>D</v>
      </c>
      <c r="K801" s="4">
        <f>INDEX(products!$A$1:$G$49,MATCH(orders!$D801,products!$A$1:$A$49,0), MATCH(orders!K$1,  products!$A$1:$G$1,0))</f>
        <v>1</v>
      </c>
      <c r="L801" s="7">
        <f>INDEX(products!$A$1:$G$49,MATCH(orders!$D801,products!$A$1:$A$49,0), MATCH(orders!L$1,  products!$A$1:$G$1,0))</f>
        <v>12.15</v>
      </c>
      <c r="M801" s="7">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 MATCH(orders!I$1,  products!$A$1:$G$1,0))</f>
        <v>Rob</v>
      </c>
      <c r="J802" t="str">
        <f>INDEX(products!$A$1:$G$49,MATCH(orders!$D802,products!$A$1:$A$49,0), MATCH(orders!J$1,  products!$A$1:$G$1,0))</f>
        <v>D</v>
      </c>
      <c r="K802" s="4">
        <f>INDEX(products!$A$1:$G$49,MATCH(orders!$D802,products!$A$1:$A$49,0), MATCH(orders!K$1,  products!$A$1:$G$1,0))</f>
        <v>0.2</v>
      </c>
      <c r="L802" s="7">
        <f>INDEX(products!$A$1:$G$49,MATCH(orders!$D802,products!$A$1:$A$49,0), MATCH(orders!L$1,  products!$A$1:$G$1,0))</f>
        <v>2.6849999999999996</v>
      </c>
      <c r="M802" s="7">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 MATCH(orders!I$1,  products!$A$1:$G$1,0))</f>
        <v>Rob</v>
      </c>
      <c r="J803" t="str">
        <f>INDEX(products!$A$1:$G$49,MATCH(orders!$D803,products!$A$1:$A$49,0), MATCH(orders!J$1,  products!$A$1:$G$1,0))</f>
        <v>D</v>
      </c>
      <c r="K803" s="4">
        <f>INDEX(products!$A$1:$G$49,MATCH(orders!$D803,products!$A$1:$A$49,0), MATCH(orders!K$1,  products!$A$1:$G$1,0))</f>
        <v>2.5</v>
      </c>
      <c r="L803" s="7">
        <f>INDEX(products!$A$1:$G$49,MATCH(orders!$D803,products!$A$1:$A$49,0), MATCH(orders!L$1,  products!$A$1:$G$1,0))</f>
        <v>20.584999999999997</v>
      </c>
      <c r="M803" s="7">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 MATCH(orders!I$1,  products!$A$1:$G$1,0))</f>
        <v>Rob</v>
      </c>
      <c r="J804" t="str">
        <f>INDEX(products!$A$1:$G$49,MATCH(orders!$D804,products!$A$1:$A$49,0), MATCH(orders!J$1,  products!$A$1:$G$1,0))</f>
        <v>D</v>
      </c>
      <c r="K804" s="4">
        <f>INDEX(products!$A$1:$G$49,MATCH(orders!$D804,products!$A$1:$A$49,0), MATCH(orders!K$1,  products!$A$1:$G$1,0))</f>
        <v>0.2</v>
      </c>
      <c r="L804" s="7">
        <f>INDEX(products!$A$1:$G$49,MATCH(orders!$D804,products!$A$1:$A$49,0), MATCH(orders!L$1,  products!$A$1:$G$1,0))</f>
        <v>2.6849999999999996</v>
      </c>
      <c r="M804" s="7">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 MATCH(orders!I$1,  products!$A$1:$G$1,0))</f>
        <v>Exc</v>
      </c>
      <c r="J805" t="str">
        <f>INDEX(products!$A$1:$G$49,MATCH(orders!$D805,products!$A$1:$A$49,0), MATCH(orders!J$1,  products!$A$1:$G$1,0))</f>
        <v>M</v>
      </c>
      <c r="K805" s="4">
        <f>INDEX(products!$A$1:$G$49,MATCH(orders!$D805,products!$A$1:$A$49,0), MATCH(orders!K$1,  products!$A$1:$G$1,0))</f>
        <v>2.5</v>
      </c>
      <c r="L805" s="7">
        <f>INDEX(products!$A$1:$G$49,MATCH(orders!$D805,products!$A$1:$A$49,0), MATCH(orders!L$1,  products!$A$1:$G$1,0))</f>
        <v>31.624999999999996</v>
      </c>
      <c r="M805" s="7">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 MATCH(orders!I$1,  products!$A$1:$G$1,0))</f>
        <v>Rob</v>
      </c>
      <c r="J806" t="str">
        <f>INDEX(products!$A$1:$G$49,MATCH(orders!$D806,products!$A$1:$A$49,0), MATCH(orders!J$1,  products!$A$1:$G$1,0))</f>
        <v>L</v>
      </c>
      <c r="K806" s="4">
        <f>INDEX(products!$A$1:$G$49,MATCH(orders!$D806,products!$A$1:$A$49,0), MATCH(orders!K$1,  products!$A$1:$G$1,0))</f>
        <v>1</v>
      </c>
      <c r="L806" s="7">
        <f>INDEX(products!$A$1:$G$49,MATCH(orders!$D806,products!$A$1:$A$49,0), MATCH(orders!L$1,  products!$A$1:$G$1,0))</f>
        <v>11.95</v>
      </c>
      <c r="M806" s="7">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 MATCH(orders!I$1,  products!$A$1:$G$1,0))</f>
        <v>Rob</v>
      </c>
      <c r="J807" t="str">
        <f>INDEX(products!$A$1:$G$49,MATCH(orders!$D807,products!$A$1:$A$49,0), MATCH(orders!J$1,  products!$A$1:$G$1,0))</f>
        <v>M</v>
      </c>
      <c r="K807" s="4">
        <f>INDEX(products!$A$1:$G$49,MATCH(orders!$D807,products!$A$1:$A$49,0), MATCH(orders!K$1,  products!$A$1:$G$1,0))</f>
        <v>0.5</v>
      </c>
      <c r="L807" s="7">
        <f>INDEX(products!$A$1:$G$49,MATCH(orders!$D807,products!$A$1:$A$49,0), MATCH(orders!L$1,  products!$A$1:$G$1,0))</f>
        <v>5.97</v>
      </c>
      <c r="M807" s="7">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 MATCH(orders!I$1,  products!$A$1:$G$1,0))</f>
        <v>Lib</v>
      </c>
      <c r="J808" t="str">
        <f>INDEX(products!$A$1:$G$49,MATCH(orders!$D808,products!$A$1:$A$49,0), MATCH(orders!J$1,  products!$A$1:$G$1,0))</f>
        <v>D</v>
      </c>
      <c r="K808" s="4">
        <f>INDEX(products!$A$1:$G$49,MATCH(orders!$D808,products!$A$1:$A$49,0), MATCH(orders!K$1,  products!$A$1:$G$1,0))</f>
        <v>0.2</v>
      </c>
      <c r="L808" s="7">
        <f>INDEX(products!$A$1:$G$49,MATCH(orders!$D808,products!$A$1:$A$49,0), MATCH(orders!L$1,  products!$A$1:$G$1,0))</f>
        <v>3.8849999999999998</v>
      </c>
      <c r="M808" s="7">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 MATCH(orders!I$1,  products!$A$1:$G$1,0))</f>
        <v>Lib</v>
      </c>
      <c r="J809" t="str">
        <f>INDEX(products!$A$1:$G$49,MATCH(orders!$D809,products!$A$1:$A$49,0), MATCH(orders!J$1,  products!$A$1:$G$1,0))</f>
        <v>D</v>
      </c>
      <c r="K809" s="4">
        <f>INDEX(products!$A$1:$G$49,MATCH(orders!$D809,products!$A$1:$A$49,0), MATCH(orders!K$1,  products!$A$1:$G$1,0))</f>
        <v>0.5</v>
      </c>
      <c r="L809" s="7">
        <f>INDEX(products!$A$1:$G$49,MATCH(orders!$D809,products!$A$1:$A$49,0), MATCH(orders!L$1,  products!$A$1:$G$1,0))</f>
        <v>7.77</v>
      </c>
      <c r="M809" s="7">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 MATCH(orders!I$1,  products!$A$1:$G$1,0))</f>
        <v>Rob</v>
      </c>
      <c r="J810" t="str">
        <f>INDEX(products!$A$1:$G$49,MATCH(orders!$D810,products!$A$1:$A$49,0), MATCH(orders!J$1,  products!$A$1:$G$1,0))</f>
        <v>L</v>
      </c>
      <c r="K810" s="4">
        <f>INDEX(products!$A$1:$G$49,MATCH(orders!$D810,products!$A$1:$A$49,0), MATCH(orders!K$1,  products!$A$1:$G$1,0))</f>
        <v>2.5</v>
      </c>
      <c r="L810" s="7">
        <f>INDEX(products!$A$1:$G$49,MATCH(orders!$D810,products!$A$1:$A$49,0), MATCH(orders!L$1,  products!$A$1:$G$1,0))</f>
        <v>27.484999999999996</v>
      </c>
      <c r="M810" s="7">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 MATCH(orders!I$1,  products!$A$1:$G$1,0))</f>
        <v>Rob</v>
      </c>
      <c r="J811" t="str">
        <f>INDEX(products!$A$1:$G$49,MATCH(orders!$D811,products!$A$1:$A$49,0), MATCH(orders!J$1,  products!$A$1:$G$1,0))</f>
        <v>D</v>
      </c>
      <c r="K811" s="4">
        <f>INDEX(products!$A$1:$G$49,MATCH(orders!$D811,products!$A$1:$A$49,0), MATCH(orders!K$1,  products!$A$1:$G$1,0))</f>
        <v>0.2</v>
      </c>
      <c r="L811" s="7">
        <f>INDEX(products!$A$1:$G$49,MATCH(orders!$D811,products!$A$1:$A$49,0), MATCH(orders!L$1,  products!$A$1:$G$1,0))</f>
        <v>2.6849999999999996</v>
      </c>
      <c r="M811" s="7">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 MATCH(orders!I$1,  products!$A$1:$G$1,0))</f>
        <v>Lib</v>
      </c>
      <c r="J812" t="str">
        <f>INDEX(products!$A$1:$G$49,MATCH(orders!$D812,products!$A$1:$A$49,0), MATCH(orders!J$1,  products!$A$1:$G$1,0))</f>
        <v>L</v>
      </c>
      <c r="K812" s="4">
        <f>INDEX(products!$A$1:$G$49,MATCH(orders!$D812,products!$A$1:$A$49,0), MATCH(orders!K$1,  products!$A$1:$G$1,0))</f>
        <v>0.5</v>
      </c>
      <c r="L812" s="7">
        <f>INDEX(products!$A$1:$G$49,MATCH(orders!$D812,products!$A$1:$A$49,0), MATCH(orders!L$1,  products!$A$1:$G$1,0))</f>
        <v>9.51</v>
      </c>
      <c r="M812" s="7">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 MATCH(orders!I$1,  products!$A$1:$G$1,0))</f>
        <v>Ara</v>
      </c>
      <c r="J813" t="str">
        <f>INDEX(products!$A$1:$G$49,MATCH(orders!$D813,products!$A$1:$A$49,0), MATCH(orders!J$1,  products!$A$1:$G$1,0))</f>
        <v>M</v>
      </c>
      <c r="K813" s="4">
        <f>INDEX(products!$A$1:$G$49,MATCH(orders!$D813,products!$A$1:$A$49,0), MATCH(orders!K$1,  products!$A$1:$G$1,0))</f>
        <v>1</v>
      </c>
      <c r="L813" s="7">
        <f>INDEX(products!$A$1:$G$49,MATCH(orders!$D813,products!$A$1:$A$49,0), MATCH(orders!L$1,  products!$A$1:$G$1,0))</f>
        <v>11.25</v>
      </c>
      <c r="M813" s="7">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 MATCH(orders!I$1,  products!$A$1:$G$1,0))</f>
        <v>Lib</v>
      </c>
      <c r="J814" t="str">
        <f>INDEX(products!$A$1:$G$49,MATCH(orders!$D814,products!$A$1:$A$49,0), MATCH(orders!J$1,  products!$A$1:$G$1,0))</f>
        <v>D</v>
      </c>
      <c r="K814" s="4">
        <f>INDEX(products!$A$1:$G$49,MATCH(orders!$D814,products!$A$1:$A$49,0), MATCH(orders!K$1,  products!$A$1:$G$1,0))</f>
        <v>2.5</v>
      </c>
      <c r="L814" s="7">
        <f>INDEX(products!$A$1:$G$49,MATCH(orders!$D814,products!$A$1:$A$49,0), MATCH(orders!L$1,  products!$A$1:$G$1,0))</f>
        <v>29.784999999999997</v>
      </c>
      <c r="M814" s="7">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 MATCH(orders!I$1,  products!$A$1:$G$1,0))</f>
        <v>Exc</v>
      </c>
      <c r="J815" t="str">
        <f>INDEX(products!$A$1:$G$49,MATCH(orders!$D815,products!$A$1:$A$49,0), MATCH(orders!J$1,  products!$A$1:$G$1,0))</f>
        <v>M</v>
      </c>
      <c r="K815" s="4">
        <f>INDEX(products!$A$1:$G$49,MATCH(orders!$D815,products!$A$1:$A$49,0), MATCH(orders!K$1,  products!$A$1:$G$1,0))</f>
        <v>2.5</v>
      </c>
      <c r="L815" s="7">
        <f>INDEX(products!$A$1:$G$49,MATCH(orders!$D815,products!$A$1:$A$49,0), MATCH(orders!L$1,  products!$A$1:$G$1,0))</f>
        <v>31.624999999999996</v>
      </c>
      <c r="M815" s="7">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 MATCH(orders!I$1,  products!$A$1:$G$1,0))</f>
        <v>Exc</v>
      </c>
      <c r="J816" t="str">
        <f>INDEX(products!$A$1:$G$49,MATCH(orders!$D816,products!$A$1:$A$49,0), MATCH(orders!J$1,  products!$A$1:$G$1,0))</f>
        <v>L</v>
      </c>
      <c r="K816" s="4">
        <f>INDEX(products!$A$1:$G$49,MATCH(orders!$D816,products!$A$1:$A$49,0), MATCH(orders!K$1,  products!$A$1:$G$1,0))</f>
        <v>0.2</v>
      </c>
      <c r="L816" s="7">
        <f>INDEX(products!$A$1:$G$49,MATCH(orders!$D816,products!$A$1:$A$49,0), MATCH(orders!L$1,  products!$A$1:$G$1,0))</f>
        <v>4.4550000000000001</v>
      </c>
      <c r="M816" s="7">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 MATCH(orders!I$1,  products!$A$1:$G$1,0))</f>
        <v>Rob</v>
      </c>
      <c r="J817" t="str">
        <f>INDEX(products!$A$1:$G$49,MATCH(orders!$D817,products!$A$1:$A$49,0), MATCH(orders!J$1,  products!$A$1:$G$1,0))</f>
        <v>M</v>
      </c>
      <c r="K817" s="4">
        <f>INDEX(products!$A$1:$G$49,MATCH(orders!$D817,products!$A$1:$A$49,0), MATCH(orders!K$1,  products!$A$1:$G$1,0))</f>
        <v>0.5</v>
      </c>
      <c r="L817" s="7">
        <f>INDEX(products!$A$1:$G$49,MATCH(orders!$D817,products!$A$1:$A$49,0), MATCH(orders!L$1,  products!$A$1:$G$1,0))</f>
        <v>5.97</v>
      </c>
      <c r="M817" s="7">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 MATCH(orders!I$1,  products!$A$1:$G$1,0))</f>
        <v>Lib</v>
      </c>
      <c r="J818" t="str">
        <f>INDEX(products!$A$1:$G$49,MATCH(orders!$D818,products!$A$1:$A$49,0), MATCH(orders!J$1,  products!$A$1:$G$1,0))</f>
        <v>L</v>
      </c>
      <c r="K818" s="4">
        <f>INDEX(products!$A$1:$G$49,MATCH(orders!$D818,products!$A$1:$A$49,0), MATCH(orders!K$1,  products!$A$1:$G$1,0))</f>
        <v>0.5</v>
      </c>
      <c r="L818" s="7">
        <f>INDEX(products!$A$1:$G$49,MATCH(orders!$D818,products!$A$1:$A$49,0), MATCH(orders!L$1,  products!$A$1:$G$1,0))</f>
        <v>9.51</v>
      </c>
      <c r="M818" s="7">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 MATCH(orders!I$1,  products!$A$1:$G$1,0))</f>
        <v>Lib</v>
      </c>
      <c r="J819" t="str">
        <f>INDEX(products!$A$1:$G$49,MATCH(orders!$D819,products!$A$1:$A$49,0), MATCH(orders!J$1,  products!$A$1:$G$1,0))</f>
        <v>D</v>
      </c>
      <c r="K819" s="4">
        <f>INDEX(products!$A$1:$G$49,MATCH(orders!$D819,products!$A$1:$A$49,0), MATCH(orders!K$1,  products!$A$1:$G$1,0))</f>
        <v>0.5</v>
      </c>
      <c r="L819" s="7">
        <f>INDEX(products!$A$1:$G$49,MATCH(orders!$D819,products!$A$1:$A$49,0), MATCH(orders!L$1,  products!$A$1:$G$1,0))</f>
        <v>7.77</v>
      </c>
      <c r="M819" s="7">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 MATCH(orders!I$1,  products!$A$1:$G$1,0))</f>
        <v>Lib</v>
      </c>
      <c r="J820" t="str">
        <f>INDEX(products!$A$1:$G$49,MATCH(orders!$D820,products!$A$1:$A$49,0), MATCH(orders!J$1,  products!$A$1:$G$1,0))</f>
        <v>L</v>
      </c>
      <c r="K820" s="4">
        <f>INDEX(products!$A$1:$G$49,MATCH(orders!$D820,products!$A$1:$A$49,0), MATCH(orders!K$1,  products!$A$1:$G$1,0))</f>
        <v>1</v>
      </c>
      <c r="L820" s="7">
        <f>INDEX(products!$A$1:$G$49,MATCH(orders!$D820,products!$A$1:$A$49,0), MATCH(orders!L$1,  products!$A$1:$G$1,0))</f>
        <v>15.85</v>
      </c>
      <c r="M820" s="7">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 MATCH(orders!I$1,  products!$A$1:$G$1,0))</f>
        <v>Lib</v>
      </c>
      <c r="J821" t="str">
        <f>INDEX(products!$A$1:$G$49,MATCH(orders!$D821,products!$A$1:$A$49,0), MATCH(orders!J$1,  products!$A$1:$G$1,0))</f>
        <v>L</v>
      </c>
      <c r="K821" s="4">
        <f>INDEX(products!$A$1:$G$49,MATCH(orders!$D821,products!$A$1:$A$49,0), MATCH(orders!K$1,  products!$A$1:$G$1,0))</f>
        <v>0.2</v>
      </c>
      <c r="L821" s="7">
        <f>INDEX(products!$A$1:$G$49,MATCH(orders!$D821,products!$A$1:$A$49,0), MATCH(orders!L$1,  products!$A$1:$G$1,0))</f>
        <v>4.7549999999999999</v>
      </c>
      <c r="M821" s="7">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 MATCH(orders!I$1,  products!$A$1:$G$1,0))</f>
        <v>Exc</v>
      </c>
      <c r="J822" t="str">
        <f>INDEX(products!$A$1:$G$49,MATCH(orders!$D822,products!$A$1:$A$49,0), MATCH(orders!J$1,  products!$A$1:$G$1,0))</f>
        <v>M</v>
      </c>
      <c r="K822" s="4">
        <f>INDEX(products!$A$1:$G$49,MATCH(orders!$D822,products!$A$1:$A$49,0), MATCH(orders!K$1,  products!$A$1:$G$1,0))</f>
        <v>1</v>
      </c>
      <c r="L822" s="7">
        <f>INDEX(products!$A$1:$G$49,MATCH(orders!$D822,products!$A$1:$A$49,0), MATCH(orders!L$1,  products!$A$1:$G$1,0))</f>
        <v>13.75</v>
      </c>
      <c r="M822" s="7">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 MATCH(orders!I$1,  products!$A$1:$G$1,0))</f>
        <v>Rob</v>
      </c>
      <c r="J823" t="str">
        <f>INDEX(products!$A$1:$G$49,MATCH(orders!$D823,products!$A$1:$A$49,0), MATCH(orders!J$1,  products!$A$1:$G$1,0))</f>
        <v>D</v>
      </c>
      <c r="K823" s="4">
        <f>INDEX(products!$A$1:$G$49,MATCH(orders!$D823,products!$A$1:$A$49,0), MATCH(orders!K$1,  products!$A$1:$G$1,0))</f>
        <v>0.5</v>
      </c>
      <c r="L823" s="7">
        <f>INDEX(products!$A$1:$G$49,MATCH(orders!$D823,products!$A$1:$A$49,0), MATCH(orders!L$1,  products!$A$1:$G$1,0))</f>
        <v>5.3699999999999992</v>
      </c>
      <c r="M823" s="7">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 MATCH(orders!I$1,  products!$A$1:$G$1,0))</f>
        <v>Exc</v>
      </c>
      <c r="J824" t="str">
        <f>INDEX(products!$A$1:$G$49,MATCH(orders!$D824,products!$A$1:$A$49,0), MATCH(orders!J$1,  products!$A$1:$G$1,0))</f>
        <v>L</v>
      </c>
      <c r="K824" s="4">
        <f>INDEX(products!$A$1:$G$49,MATCH(orders!$D824,products!$A$1:$A$49,0), MATCH(orders!K$1,  products!$A$1:$G$1,0))</f>
        <v>2.5</v>
      </c>
      <c r="L824" s="7">
        <f>INDEX(products!$A$1:$G$49,MATCH(orders!$D824,products!$A$1:$A$49,0), MATCH(orders!L$1,  products!$A$1:$G$1,0))</f>
        <v>34.154999999999994</v>
      </c>
      <c r="M824" s="7">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 MATCH(orders!I$1,  products!$A$1:$G$1,0))</f>
        <v>Lib</v>
      </c>
      <c r="J825" t="str">
        <f>INDEX(products!$A$1:$G$49,MATCH(orders!$D825,products!$A$1:$A$49,0), MATCH(orders!J$1,  products!$A$1:$G$1,0))</f>
        <v>L</v>
      </c>
      <c r="K825" s="4">
        <f>INDEX(products!$A$1:$G$49,MATCH(orders!$D825,products!$A$1:$A$49,0), MATCH(orders!K$1,  products!$A$1:$G$1,0))</f>
        <v>1</v>
      </c>
      <c r="L825" s="7">
        <f>INDEX(products!$A$1:$G$49,MATCH(orders!$D825,products!$A$1:$A$49,0), MATCH(orders!L$1,  products!$A$1:$G$1,0))</f>
        <v>15.85</v>
      </c>
      <c r="M825" s="7">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 MATCH(orders!I$1,  products!$A$1:$G$1,0))</f>
        <v>Ara</v>
      </c>
      <c r="J826" t="str">
        <f>INDEX(products!$A$1:$G$49,MATCH(orders!$D826,products!$A$1:$A$49,0), MATCH(orders!J$1,  products!$A$1:$G$1,0))</f>
        <v>M</v>
      </c>
      <c r="K826" s="4">
        <f>INDEX(products!$A$1:$G$49,MATCH(orders!$D826,products!$A$1:$A$49,0), MATCH(orders!K$1,  products!$A$1:$G$1,0))</f>
        <v>0.2</v>
      </c>
      <c r="L826" s="7">
        <f>INDEX(products!$A$1:$G$49,MATCH(orders!$D826,products!$A$1:$A$49,0), MATCH(orders!L$1,  products!$A$1:$G$1,0))</f>
        <v>3.375</v>
      </c>
      <c r="M826" s="7">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 MATCH(orders!I$1,  products!$A$1:$G$1,0))</f>
        <v>Ara</v>
      </c>
      <c r="J827" t="str">
        <f>INDEX(products!$A$1:$G$49,MATCH(orders!$D827,products!$A$1:$A$49,0), MATCH(orders!J$1,  products!$A$1:$G$1,0))</f>
        <v>D</v>
      </c>
      <c r="K827" s="4">
        <f>INDEX(products!$A$1:$G$49,MATCH(orders!$D827,products!$A$1:$A$49,0), MATCH(orders!K$1,  products!$A$1:$G$1,0))</f>
        <v>1</v>
      </c>
      <c r="L827" s="7">
        <f>INDEX(products!$A$1:$G$49,MATCH(orders!$D827,products!$A$1:$A$49,0), MATCH(orders!L$1,  products!$A$1:$G$1,0))</f>
        <v>9.9499999999999993</v>
      </c>
      <c r="M827" s="7">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 MATCH(orders!I$1,  products!$A$1:$G$1,0))</f>
        <v>Exc</v>
      </c>
      <c r="J828" t="str">
        <f>INDEX(products!$A$1:$G$49,MATCH(orders!$D828,products!$A$1:$A$49,0), MATCH(orders!J$1,  products!$A$1:$G$1,0))</f>
        <v>M</v>
      </c>
      <c r="K828" s="4">
        <f>INDEX(products!$A$1:$G$49,MATCH(orders!$D828,products!$A$1:$A$49,0), MATCH(orders!K$1,  products!$A$1:$G$1,0))</f>
        <v>0.5</v>
      </c>
      <c r="L828" s="7">
        <f>INDEX(products!$A$1:$G$49,MATCH(orders!$D828,products!$A$1:$A$49,0), MATCH(orders!L$1,  products!$A$1:$G$1,0))</f>
        <v>8.25</v>
      </c>
      <c r="M828" s="7">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 MATCH(orders!I$1,  products!$A$1:$G$1,0))</f>
        <v>Exc</v>
      </c>
      <c r="J829" t="str">
        <f>INDEX(products!$A$1:$G$49,MATCH(orders!$D829,products!$A$1:$A$49,0), MATCH(orders!J$1,  products!$A$1:$G$1,0))</f>
        <v>M</v>
      </c>
      <c r="K829" s="4">
        <f>INDEX(products!$A$1:$G$49,MATCH(orders!$D829,products!$A$1:$A$49,0), MATCH(orders!K$1,  products!$A$1:$G$1,0))</f>
        <v>0.2</v>
      </c>
      <c r="L829" s="7">
        <f>INDEX(products!$A$1:$G$49,MATCH(orders!$D829,products!$A$1:$A$49,0), MATCH(orders!L$1,  products!$A$1:$G$1,0))</f>
        <v>4.125</v>
      </c>
      <c r="M829" s="7">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 MATCH(orders!I$1,  products!$A$1:$G$1,0))</f>
        <v>Ara</v>
      </c>
      <c r="J830" t="str">
        <f>INDEX(products!$A$1:$G$49,MATCH(orders!$D830,products!$A$1:$A$49,0), MATCH(orders!J$1,  products!$A$1:$G$1,0))</f>
        <v>D</v>
      </c>
      <c r="K830" s="4">
        <f>INDEX(products!$A$1:$G$49,MATCH(orders!$D830,products!$A$1:$A$49,0), MATCH(orders!K$1,  products!$A$1:$G$1,0))</f>
        <v>2.5</v>
      </c>
      <c r="L830" s="7">
        <f>INDEX(products!$A$1:$G$49,MATCH(orders!$D830,products!$A$1:$A$49,0), MATCH(orders!L$1,  products!$A$1:$G$1,0))</f>
        <v>22.884999999999998</v>
      </c>
      <c r="M830" s="7">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 MATCH(orders!I$1,  products!$A$1:$G$1,0))</f>
        <v>Ara</v>
      </c>
      <c r="J831" t="str">
        <f>INDEX(products!$A$1:$G$49,MATCH(orders!$D831,products!$A$1:$A$49,0), MATCH(orders!J$1,  products!$A$1:$G$1,0))</f>
        <v>D</v>
      </c>
      <c r="K831" s="4">
        <f>INDEX(products!$A$1:$G$49,MATCH(orders!$D831,products!$A$1:$A$49,0), MATCH(orders!K$1,  products!$A$1:$G$1,0))</f>
        <v>0.2</v>
      </c>
      <c r="L831" s="7">
        <f>INDEX(products!$A$1:$G$49,MATCH(orders!$D831,products!$A$1:$A$49,0), MATCH(orders!L$1,  products!$A$1:$G$1,0))</f>
        <v>2.9849999999999999</v>
      </c>
      <c r="M831" s="7">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 MATCH(orders!I$1,  products!$A$1:$G$1,0))</f>
        <v>Exc</v>
      </c>
      <c r="J832" t="str">
        <f>INDEX(products!$A$1:$G$49,MATCH(orders!$D832,products!$A$1:$A$49,0), MATCH(orders!J$1,  products!$A$1:$G$1,0))</f>
        <v>M</v>
      </c>
      <c r="K832" s="4">
        <f>INDEX(products!$A$1:$G$49,MATCH(orders!$D832,products!$A$1:$A$49,0), MATCH(orders!K$1,  products!$A$1:$G$1,0))</f>
        <v>1</v>
      </c>
      <c r="L832" s="7">
        <f>INDEX(products!$A$1:$G$49,MATCH(orders!$D832,products!$A$1:$A$49,0), MATCH(orders!L$1,  products!$A$1:$G$1,0))</f>
        <v>13.75</v>
      </c>
      <c r="M832" s="7">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 MATCH(orders!I$1,  products!$A$1:$G$1,0))</f>
        <v>Ara</v>
      </c>
      <c r="J833" t="str">
        <f>INDEX(products!$A$1:$G$49,MATCH(orders!$D833,products!$A$1:$A$49,0), MATCH(orders!J$1,  products!$A$1:$G$1,0))</f>
        <v>D</v>
      </c>
      <c r="K833" s="4">
        <f>INDEX(products!$A$1:$G$49,MATCH(orders!$D833,products!$A$1:$A$49,0), MATCH(orders!K$1,  products!$A$1:$G$1,0))</f>
        <v>0.2</v>
      </c>
      <c r="L833" s="7">
        <f>INDEX(products!$A$1:$G$49,MATCH(orders!$D833,products!$A$1:$A$49,0), MATCH(orders!L$1,  products!$A$1:$G$1,0))</f>
        <v>2.9849999999999999</v>
      </c>
      <c r="M833" s="7">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 MATCH(orders!I$1,  products!$A$1:$G$1,0))</f>
        <v>Rob</v>
      </c>
      <c r="J834" t="str">
        <f>INDEX(products!$A$1:$G$49,MATCH(orders!$D834,products!$A$1:$A$49,0), MATCH(orders!J$1,  products!$A$1:$G$1,0))</f>
        <v>M</v>
      </c>
      <c r="K834" s="4">
        <f>INDEX(products!$A$1:$G$49,MATCH(orders!$D834,products!$A$1:$A$49,0), MATCH(orders!K$1,  products!$A$1:$G$1,0))</f>
        <v>1</v>
      </c>
      <c r="L834" s="7">
        <f>INDEX(products!$A$1:$G$49,MATCH(orders!$D834,products!$A$1:$A$49,0), MATCH(orders!L$1,  products!$A$1:$G$1,0))</f>
        <v>9.9499999999999993</v>
      </c>
      <c r="M834" s="7">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 MATCH(orders!I$1,  products!$A$1:$G$1,0))</f>
        <v>Rob</v>
      </c>
      <c r="J835" t="str">
        <f>INDEX(products!$A$1:$G$49,MATCH(orders!$D835,products!$A$1:$A$49,0), MATCH(orders!J$1,  products!$A$1:$G$1,0))</f>
        <v>D</v>
      </c>
      <c r="K835" s="4">
        <f>INDEX(products!$A$1:$G$49,MATCH(orders!$D835,products!$A$1:$A$49,0), MATCH(orders!K$1,  products!$A$1:$G$1,0))</f>
        <v>2.5</v>
      </c>
      <c r="L835" s="7">
        <f>INDEX(products!$A$1:$G$49,MATCH(orders!$D835,products!$A$1:$A$49,0), MATCH(orders!L$1,  products!$A$1:$G$1,0))</f>
        <v>20.584999999999997</v>
      </c>
      <c r="M835" s="7">
        <f t="shared" ref="M835:M898" si="39">L835*E835</f>
        <v>82.339999999999989</v>
      </c>
      <c r="N835" t="str">
        <f t="shared" ref="N835:N898" si="40">IF(I835="Rob","Robusta", IF(I835="Exc","Excelsa", IF(I835="Ara", "Arabica", IF(I835="Lib", "Liberica", ""))))</f>
        <v>Robusta</v>
      </c>
      <c r="O835" t="str">
        <f t="shared" ref="O835:O898" si="41">IF(J835="M", "Medium", IF(J835="L", "Light",IF(J835="D","Dark","")))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 MATCH(orders!I$1,  products!$A$1:$G$1,0))</f>
        <v>Ara</v>
      </c>
      <c r="J836" t="str">
        <f>INDEX(products!$A$1:$G$49,MATCH(orders!$D836,products!$A$1:$A$49,0), MATCH(orders!J$1,  products!$A$1:$G$1,0))</f>
        <v>D</v>
      </c>
      <c r="K836" s="4">
        <f>INDEX(products!$A$1:$G$49,MATCH(orders!$D836,products!$A$1:$A$49,0), MATCH(orders!K$1,  products!$A$1:$G$1,0))</f>
        <v>2.5</v>
      </c>
      <c r="L836" s="7">
        <f>INDEX(products!$A$1:$G$49,MATCH(orders!$D836,products!$A$1:$A$49,0), MATCH(orders!L$1,  products!$A$1:$G$1,0))</f>
        <v>22.884999999999998</v>
      </c>
      <c r="M836" s="7">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 MATCH(orders!I$1,  products!$A$1:$G$1,0))</f>
        <v>Exc</v>
      </c>
      <c r="J837" t="str">
        <f>INDEX(products!$A$1:$G$49,MATCH(orders!$D837,products!$A$1:$A$49,0), MATCH(orders!J$1,  products!$A$1:$G$1,0))</f>
        <v>L</v>
      </c>
      <c r="K837" s="4">
        <f>INDEX(products!$A$1:$G$49,MATCH(orders!$D837,products!$A$1:$A$49,0), MATCH(orders!K$1,  products!$A$1:$G$1,0))</f>
        <v>0.5</v>
      </c>
      <c r="L837" s="7">
        <f>INDEX(products!$A$1:$G$49,MATCH(orders!$D837,products!$A$1:$A$49,0), MATCH(orders!L$1,  products!$A$1:$G$1,0))</f>
        <v>8.91</v>
      </c>
      <c r="M837" s="7">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 MATCH(orders!I$1,  products!$A$1:$G$1,0))</f>
        <v>Ara</v>
      </c>
      <c r="J838" t="str">
        <f>INDEX(products!$A$1:$G$49,MATCH(orders!$D838,products!$A$1:$A$49,0), MATCH(orders!J$1,  products!$A$1:$G$1,0))</f>
        <v>D</v>
      </c>
      <c r="K838" s="4">
        <f>INDEX(products!$A$1:$G$49,MATCH(orders!$D838,products!$A$1:$A$49,0), MATCH(orders!K$1,  products!$A$1:$G$1,0))</f>
        <v>0.2</v>
      </c>
      <c r="L838" s="7">
        <f>INDEX(products!$A$1:$G$49,MATCH(orders!$D838,products!$A$1:$A$49,0), MATCH(orders!L$1,  products!$A$1:$G$1,0))</f>
        <v>2.9849999999999999</v>
      </c>
      <c r="M838" s="7">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 MATCH(orders!I$1,  products!$A$1:$G$1,0))</f>
        <v>Lib</v>
      </c>
      <c r="J839" t="str">
        <f>INDEX(products!$A$1:$G$49,MATCH(orders!$D839,products!$A$1:$A$49,0), MATCH(orders!J$1,  products!$A$1:$G$1,0))</f>
        <v>M</v>
      </c>
      <c r="K839" s="4">
        <f>INDEX(products!$A$1:$G$49,MATCH(orders!$D839,products!$A$1:$A$49,0), MATCH(orders!K$1,  products!$A$1:$G$1,0))</f>
        <v>2.5</v>
      </c>
      <c r="L839" s="7">
        <f>INDEX(products!$A$1:$G$49,MATCH(orders!$D839,products!$A$1:$A$49,0), MATCH(orders!L$1,  products!$A$1:$G$1,0))</f>
        <v>33.464999999999996</v>
      </c>
      <c r="M839" s="7">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 MATCH(orders!I$1,  products!$A$1:$G$1,0))</f>
        <v>Ara</v>
      </c>
      <c r="J840" t="str">
        <f>INDEX(products!$A$1:$G$49,MATCH(orders!$D840,products!$A$1:$A$49,0), MATCH(orders!J$1,  products!$A$1:$G$1,0))</f>
        <v>D</v>
      </c>
      <c r="K840" s="4">
        <f>INDEX(products!$A$1:$G$49,MATCH(orders!$D840,products!$A$1:$A$49,0), MATCH(orders!K$1,  products!$A$1:$G$1,0))</f>
        <v>2.5</v>
      </c>
      <c r="L840" s="7">
        <f>INDEX(products!$A$1:$G$49,MATCH(orders!$D840,products!$A$1:$A$49,0), MATCH(orders!L$1,  products!$A$1:$G$1,0))</f>
        <v>22.884999999999998</v>
      </c>
      <c r="M840" s="7">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 MATCH(orders!I$1,  products!$A$1:$G$1,0))</f>
        <v>Exc</v>
      </c>
      <c r="J841" t="str">
        <f>INDEX(products!$A$1:$G$49,MATCH(orders!$D841,products!$A$1:$A$49,0), MATCH(orders!J$1,  products!$A$1:$G$1,0))</f>
        <v>M</v>
      </c>
      <c r="K841" s="4">
        <f>INDEX(products!$A$1:$G$49,MATCH(orders!$D841,products!$A$1:$A$49,0), MATCH(orders!K$1,  products!$A$1:$G$1,0))</f>
        <v>0.5</v>
      </c>
      <c r="L841" s="7">
        <f>INDEX(products!$A$1:$G$49,MATCH(orders!$D841,products!$A$1:$A$49,0), MATCH(orders!L$1,  products!$A$1:$G$1,0))</f>
        <v>8.25</v>
      </c>
      <c r="M841" s="7">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 MATCH(orders!I$1,  products!$A$1:$G$1,0))</f>
        <v>Rob</v>
      </c>
      <c r="J842" t="str">
        <f>INDEX(products!$A$1:$G$49,MATCH(orders!$D842,products!$A$1:$A$49,0), MATCH(orders!J$1,  products!$A$1:$G$1,0))</f>
        <v>L</v>
      </c>
      <c r="K842" s="4">
        <f>INDEX(products!$A$1:$G$49,MATCH(orders!$D842,products!$A$1:$A$49,0), MATCH(orders!K$1,  products!$A$1:$G$1,0))</f>
        <v>0.5</v>
      </c>
      <c r="L842" s="7">
        <f>INDEX(products!$A$1:$G$49,MATCH(orders!$D842,products!$A$1:$A$49,0), MATCH(orders!L$1,  products!$A$1:$G$1,0))</f>
        <v>7.169999999999999</v>
      </c>
      <c r="M842" s="7">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 MATCH(orders!I$1,  products!$A$1:$G$1,0))</f>
        <v>Lib</v>
      </c>
      <c r="J843" t="str">
        <f>INDEX(products!$A$1:$G$49,MATCH(orders!$D843,products!$A$1:$A$49,0), MATCH(orders!J$1,  products!$A$1:$G$1,0))</f>
        <v>M</v>
      </c>
      <c r="K843" s="4">
        <f>INDEX(products!$A$1:$G$49,MATCH(orders!$D843,products!$A$1:$A$49,0), MATCH(orders!K$1,  products!$A$1:$G$1,0))</f>
        <v>0.2</v>
      </c>
      <c r="L843" s="7">
        <f>INDEX(products!$A$1:$G$49,MATCH(orders!$D843,products!$A$1:$A$49,0), MATCH(orders!L$1,  products!$A$1:$G$1,0))</f>
        <v>4.3650000000000002</v>
      </c>
      <c r="M843" s="7">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 MATCH(orders!I$1,  products!$A$1:$G$1,0))</f>
        <v>Exc</v>
      </c>
      <c r="J844" t="str">
        <f>INDEX(products!$A$1:$G$49,MATCH(orders!$D844,products!$A$1:$A$49,0), MATCH(orders!J$1,  products!$A$1:$G$1,0))</f>
        <v>M</v>
      </c>
      <c r="K844" s="4">
        <f>INDEX(products!$A$1:$G$49,MATCH(orders!$D844,products!$A$1:$A$49,0), MATCH(orders!K$1,  products!$A$1:$G$1,0))</f>
        <v>0.2</v>
      </c>
      <c r="L844" s="7">
        <f>INDEX(products!$A$1:$G$49,MATCH(orders!$D844,products!$A$1:$A$49,0), MATCH(orders!L$1,  products!$A$1:$G$1,0))</f>
        <v>4.125</v>
      </c>
      <c r="M844" s="7">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 MATCH(orders!I$1,  products!$A$1:$G$1,0))</f>
        <v>Exc</v>
      </c>
      <c r="J845" t="str">
        <f>INDEX(products!$A$1:$G$49,MATCH(orders!$D845,products!$A$1:$A$49,0), MATCH(orders!J$1,  products!$A$1:$G$1,0))</f>
        <v>M</v>
      </c>
      <c r="K845" s="4">
        <f>INDEX(products!$A$1:$G$49,MATCH(orders!$D845,products!$A$1:$A$49,0), MATCH(orders!K$1,  products!$A$1:$G$1,0))</f>
        <v>0.2</v>
      </c>
      <c r="L845" s="7">
        <f>INDEX(products!$A$1:$G$49,MATCH(orders!$D845,products!$A$1:$A$49,0), MATCH(orders!L$1,  products!$A$1:$G$1,0))</f>
        <v>4.125</v>
      </c>
      <c r="M845" s="7">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 MATCH(orders!I$1,  products!$A$1:$G$1,0))</f>
        <v>Ara</v>
      </c>
      <c r="J846" t="str">
        <f>INDEX(products!$A$1:$G$49,MATCH(orders!$D846,products!$A$1:$A$49,0), MATCH(orders!J$1,  products!$A$1:$G$1,0))</f>
        <v>D</v>
      </c>
      <c r="K846" s="4">
        <f>INDEX(products!$A$1:$G$49,MATCH(orders!$D846,products!$A$1:$A$49,0), MATCH(orders!K$1,  products!$A$1:$G$1,0))</f>
        <v>0.5</v>
      </c>
      <c r="L846" s="7">
        <f>INDEX(products!$A$1:$G$49,MATCH(orders!$D846,products!$A$1:$A$49,0), MATCH(orders!L$1,  products!$A$1:$G$1,0))</f>
        <v>5.97</v>
      </c>
      <c r="M846" s="7">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 MATCH(orders!I$1,  products!$A$1:$G$1,0))</f>
        <v>Exc</v>
      </c>
      <c r="J847" t="str">
        <f>INDEX(products!$A$1:$G$49,MATCH(orders!$D847,products!$A$1:$A$49,0), MATCH(orders!J$1,  products!$A$1:$G$1,0))</f>
        <v>D</v>
      </c>
      <c r="K847" s="4">
        <f>INDEX(products!$A$1:$G$49,MATCH(orders!$D847,products!$A$1:$A$49,0), MATCH(orders!K$1,  products!$A$1:$G$1,0))</f>
        <v>2.5</v>
      </c>
      <c r="L847" s="7">
        <f>INDEX(products!$A$1:$G$49,MATCH(orders!$D847,products!$A$1:$A$49,0), MATCH(orders!L$1,  products!$A$1:$G$1,0))</f>
        <v>27.945</v>
      </c>
      <c r="M847" s="7">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 MATCH(orders!I$1,  products!$A$1:$G$1,0))</f>
        <v>Ara</v>
      </c>
      <c r="J848" t="str">
        <f>INDEX(products!$A$1:$G$49,MATCH(orders!$D848,products!$A$1:$A$49,0), MATCH(orders!J$1,  products!$A$1:$G$1,0))</f>
        <v>M</v>
      </c>
      <c r="K848" s="4">
        <f>INDEX(products!$A$1:$G$49,MATCH(orders!$D848,products!$A$1:$A$49,0), MATCH(orders!K$1,  products!$A$1:$G$1,0))</f>
        <v>2.5</v>
      </c>
      <c r="L848" s="7">
        <f>INDEX(products!$A$1:$G$49,MATCH(orders!$D848,products!$A$1:$A$49,0), MATCH(orders!L$1,  products!$A$1:$G$1,0))</f>
        <v>25.874999999999996</v>
      </c>
      <c r="M848" s="7">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 MATCH(orders!I$1,  products!$A$1:$G$1,0))</f>
        <v>Ara</v>
      </c>
      <c r="J849" t="str">
        <f>INDEX(products!$A$1:$G$49,MATCH(orders!$D849,products!$A$1:$A$49,0), MATCH(orders!J$1,  products!$A$1:$G$1,0))</f>
        <v>D</v>
      </c>
      <c r="K849" s="4">
        <f>INDEX(products!$A$1:$G$49,MATCH(orders!$D849,products!$A$1:$A$49,0), MATCH(orders!K$1,  products!$A$1:$G$1,0))</f>
        <v>0.2</v>
      </c>
      <c r="L849" s="7">
        <f>INDEX(products!$A$1:$G$49,MATCH(orders!$D849,products!$A$1:$A$49,0), MATCH(orders!L$1,  products!$A$1:$G$1,0))</f>
        <v>2.9849999999999999</v>
      </c>
      <c r="M849" s="7">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 MATCH(orders!I$1,  products!$A$1:$G$1,0))</f>
        <v>Exc</v>
      </c>
      <c r="J850" t="str">
        <f>INDEX(products!$A$1:$G$49,MATCH(orders!$D850,products!$A$1:$A$49,0), MATCH(orders!J$1,  products!$A$1:$G$1,0))</f>
        <v>L</v>
      </c>
      <c r="K850" s="4">
        <f>INDEX(products!$A$1:$G$49,MATCH(orders!$D850,products!$A$1:$A$49,0), MATCH(orders!K$1,  products!$A$1:$G$1,0))</f>
        <v>0.5</v>
      </c>
      <c r="L850" s="7">
        <f>INDEX(products!$A$1:$G$49,MATCH(orders!$D850,products!$A$1:$A$49,0), MATCH(orders!L$1,  products!$A$1:$G$1,0))</f>
        <v>8.91</v>
      </c>
      <c r="M850" s="7">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 MATCH(orders!I$1,  products!$A$1:$G$1,0))</f>
        <v>Ara</v>
      </c>
      <c r="J851" t="str">
        <f>INDEX(products!$A$1:$G$49,MATCH(orders!$D851,products!$A$1:$A$49,0), MATCH(orders!J$1,  products!$A$1:$G$1,0))</f>
        <v>L</v>
      </c>
      <c r="K851" s="4">
        <f>INDEX(products!$A$1:$G$49,MATCH(orders!$D851,products!$A$1:$A$49,0), MATCH(orders!K$1,  products!$A$1:$G$1,0))</f>
        <v>0.2</v>
      </c>
      <c r="L851" s="7">
        <f>INDEX(products!$A$1:$G$49,MATCH(orders!$D851,products!$A$1:$A$49,0), MATCH(orders!L$1,  products!$A$1:$G$1,0))</f>
        <v>3.8849999999999998</v>
      </c>
      <c r="M851" s="7">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 MATCH(orders!I$1,  products!$A$1:$G$1,0))</f>
        <v>Ara</v>
      </c>
      <c r="J852" t="str">
        <f>INDEX(products!$A$1:$G$49,MATCH(orders!$D852,products!$A$1:$A$49,0), MATCH(orders!J$1,  products!$A$1:$G$1,0))</f>
        <v>M</v>
      </c>
      <c r="K852" s="4">
        <f>INDEX(products!$A$1:$G$49,MATCH(orders!$D852,products!$A$1:$A$49,0), MATCH(orders!K$1,  products!$A$1:$G$1,0))</f>
        <v>0.2</v>
      </c>
      <c r="L852" s="7">
        <f>INDEX(products!$A$1:$G$49,MATCH(orders!$D852,products!$A$1:$A$49,0), MATCH(orders!L$1,  products!$A$1:$G$1,0))</f>
        <v>3.375</v>
      </c>
      <c r="M852" s="7">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 MATCH(orders!I$1,  products!$A$1:$G$1,0))</f>
        <v>Lib</v>
      </c>
      <c r="J853" t="str">
        <f>INDEX(products!$A$1:$G$49,MATCH(orders!$D853,products!$A$1:$A$49,0), MATCH(orders!J$1,  products!$A$1:$G$1,0))</f>
        <v>D</v>
      </c>
      <c r="K853" s="4">
        <f>INDEX(products!$A$1:$G$49,MATCH(orders!$D853,products!$A$1:$A$49,0), MATCH(orders!K$1,  products!$A$1:$G$1,0))</f>
        <v>0.5</v>
      </c>
      <c r="L853" s="7">
        <f>INDEX(products!$A$1:$G$49,MATCH(orders!$D853,products!$A$1:$A$49,0), MATCH(orders!L$1,  products!$A$1:$G$1,0))</f>
        <v>7.77</v>
      </c>
      <c r="M853" s="7">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 MATCH(orders!I$1,  products!$A$1:$G$1,0))</f>
        <v>Lib</v>
      </c>
      <c r="J854" t="str">
        <f>INDEX(products!$A$1:$G$49,MATCH(orders!$D854,products!$A$1:$A$49,0), MATCH(orders!J$1,  products!$A$1:$G$1,0))</f>
        <v>D</v>
      </c>
      <c r="K854" s="4">
        <f>INDEX(products!$A$1:$G$49,MATCH(orders!$D854,products!$A$1:$A$49,0), MATCH(orders!K$1,  products!$A$1:$G$1,0))</f>
        <v>2.5</v>
      </c>
      <c r="L854" s="7">
        <f>INDEX(products!$A$1:$G$49,MATCH(orders!$D854,products!$A$1:$A$49,0), MATCH(orders!L$1,  products!$A$1:$G$1,0))</f>
        <v>29.784999999999997</v>
      </c>
      <c r="M854" s="7">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 MATCH(orders!I$1,  products!$A$1:$G$1,0))</f>
        <v>Ara</v>
      </c>
      <c r="J855" t="str">
        <f>INDEX(products!$A$1:$G$49,MATCH(orders!$D855,products!$A$1:$A$49,0), MATCH(orders!J$1,  products!$A$1:$G$1,0))</f>
        <v>D</v>
      </c>
      <c r="K855" s="4">
        <f>INDEX(products!$A$1:$G$49,MATCH(orders!$D855,products!$A$1:$A$49,0), MATCH(orders!K$1,  products!$A$1:$G$1,0))</f>
        <v>1</v>
      </c>
      <c r="L855" s="7">
        <f>INDEX(products!$A$1:$G$49,MATCH(orders!$D855,products!$A$1:$A$49,0), MATCH(orders!L$1,  products!$A$1:$G$1,0))</f>
        <v>9.9499999999999993</v>
      </c>
      <c r="M855" s="7">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 MATCH(orders!I$1,  products!$A$1:$G$1,0))</f>
        <v>Rob</v>
      </c>
      <c r="J856" t="str">
        <f>INDEX(products!$A$1:$G$49,MATCH(orders!$D856,products!$A$1:$A$49,0), MATCH(orders!J$1,  products!$A$1:$G$1,0))</f>
        <v>L</v>
      </c>
      <c r="K856" s="4">
        <f>INDEX(products!$A$1:$G$49,MATCH(orders!$D856,products!$A$1:$A$49,0), MATCH(orders!K$1,  products!$A$1:$G$1,0))</f>
        <v>0.5</v>
      </c>
      <c r="L856" s="7">
        <f>INDEX(products!$A$1:$G$49,MATCH(orders!$D856,products!$A$1:$A$49,0), MATCH(orders!L$1,  products!$A$1:$G$1,0))</f>
        <v>7.169999999999999</v>
      </c>
      <c r="M856" s="7">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 MATCH(orders!I$1,  products!$A$1:$G$1,0))</f>
        <v>Lib</v>
      </c>
      <c r="J857" t="str">
        <f>INDEX(products!$A$1:$G$49,MATCH(orders!$D857,products!$A$1:$A$49,0), MATCH(orders!J$1,  products!$A$1:$G$1,0))</f>
        <v>D</v>
      </c>
      <c r="K857" s="4">
        <f>INDEX(products!$A$1:$G$49,MATCH(orders!$D857,products!$A$1:$A$49,0), MATCH(orders!K$1,  products!$A$1:$G$1,0))</f>
        <v>2.5</v>
      </c>
      <c r="L857" s="7">
        <f>INDEX(products!$A$1:$G$49,MATCH(orders!$D857,products!$A$1:$A$49,0), MATCH(orders!L$1,  products!$A$1:$G$1,0))</f>
        <v>29.784999999999997</v>
      </c>
      <c r="M857" s="7">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 MATCH(orders!I$1,  products!$A$1:$G$1,0))</f>
        <v>Lib</v>
      </c>
      <c r="J858" t="str">
        <f>INDEX(products!$A$1:$G$49,MATCH(orders!$D858,products!$A$1:$A$49,0), MATCH(orders!J$1,  products!$A$1:$G$1,0))</f>
        <v>M</v>
      </c>
      <c r="K858" s="4">
        <f>INDEX(products!$A$1:$G$49,MATCH(orders!$D858,products!$A$1:$A$49,0), MATCH(orders!K$1,  products!$A$1:$G$1,0))</f>
        <v>0.2</v>
      </c>
      <c r="L858" s="7">
        <f>INDEX(products!$A$1:$G$49,MATCH(orders!$D858,products!$A$1:$A$49,0), MATCH(orders!L$1,  products!$A$1:$G$1,0))</f>
        <v>4.3650000000000002</v>
      </c>
      <c r="M858" s="7">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 MATCH(orders!I$1,  products!$A$1:$G$1,0))</f>
        <v>Rob</v>
      </c>
      <c r="J859" t="str">
        <f>INDEX(products!$A$1:$G$49,MATCH(orders!$D859,products!$A$1:$A$49,0), MATCH(orders!J$1,  products!$A$1:$G$1,0))</f>
        <v>L</v>
      </c>
      <c r="K859" s="4">
        <f>INDEX(products!$A$1:$G$49,MATCH(orders!$D859,products!$A$1:$A$49,0), MATCH(orders!K$1,  products!$A$1:$G$1,0))</f>
        <v>2.5</v>
      </c>
      <c r="L859" s="7">
        <f>INDEX(products!$A$1:$G$49,MATCH(orders!$D859,products!$A$1:$A$49,0), MATCH(orders!L$1,  products!$A$1:$G$1,0))</f>
        <v>27.484999999999996</v>
      </c>
      <c r="M859" s="7">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 MATCH(orders!I$1,  products!$A$1:$G$1,0))</f>
        <v>Lib</v>
      </c>
      <c r="J860" t="str">
        <f>INDEX(products!$A$1:$G$49,MATCH(orders!$D860,products!$A$1:$A$49,0), MATCH(orders!J$1,  products!$A$1:$G$1,0))</f>
        <v>M</v>
      </c>
      <c r="K860" s="4">
        <f>INDEX(products!$A$1:$G$49,MATCH(orders!$D860,products!$A$1:$A$49,0), MATCH(orders!K$1,  products!$A$1:$G$1,0))</f>
        <v>0.5</v>
      </c>
      <c r="L860" s="7">
        <f>INDEX(products!$A$1:$G$49,MATCH(orders!$D860,products!$A$1:$A$49,0), MATCH(orders!L$1,  products!$A$1:$G$1,0))</f>
        <v>8.73</v>
      </c>
      <c r="M860" s="7">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 MATCH(orders!I$1,  products!$A$1:$G$1,0))</f>
        <v>Ara</v>
      </c>
      <c r="J861" t="str">
        <f>INDEX(products!$A$1:$G$49,MATCH(orders!$D861,products!$A$1:$A$49,0), MATCH(orders!J$1,  products!$A$1:$G$1,0))</f>
        <v>L</v>
      </c>
      <c r="K861" s="4">
        <f>INDEX(products!$A$1:$G$49,MATCH(orders!$D861,products!$A$1:$A$49,0), MATCH(orders!K$1,  products!$A$1:$G$1,0))</f>
        <v>2.5</v>
      </c>
      <c r="L861" s="7">
        <f>INDEX(products!$A$1:$G$49,MATCH(orders!$D861,products!$A$1:$A$49,0), MATCH(orders!L$1,  products!$A$1:$G$1,0))</f>
        <v>29.784999999999997</v>
      </c>
      <c r="M861" s="7">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 MATCH(orders!I$1,  products!$A$1:$G$1,0))</f>
        <v>Ara</v>
      </c>
      <c r="J862" t="str">
        <f>INDEX(products!$A$1:$G$49,MATCH(orders!$D862,products!$A$1:$A$49,0), MATCH(orders!J$1,  products!$A$1:$G$1,0))</f>
        <v>M</v>
      </c>
      <c r="K862" s="4">
        <f>INDEX(products!$A$1:$G$49,MATCH(orders!$D862,products!$A$1:$A$49,0), MATCH(orders!K$1,  products!$A$1:$G$1,0))</f>
        <v>2.5</v>
      </c>
      <c r="L862" s="7">
        <f>INDEX(products!$A$1:$G$49,MATCH(orders!$D862,products!$A$1:$A$49,0), MATCH(orders!L$1,  products!$A$1:$G$1,0))</f>
        <v>25.874999999999996</v>
      </c>
      <c r="M862" s="7">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 MATCH(orders!I$1,  products!$A$1:$G$1,0))</f>
        <v>Lib</v>
      </c>
      <c r="J863" t="str">
        <f>INDEX(products!$A$1:$G$49,MATCH(orders!$D863,products!$A$1:$A$49,0), MATCH(orders!J$1,  products!$A$1:$G$1,0))</f>
        <v>D</v>
      </c>
      <c r="K863" s="4">
        <f>INDEX(products!$A$1:$G$49,MATCH(orders!$D863,products!$A$1:$A$49,0), MATCH(orders!K$1,  products!$A$1:$G$1,0))</f>
        <v>1</v>
      </c>
      <c r="L863" s="7">
        <f>INDEX(products!$A$1:$G$49,MATCH(orders!$D863,products!$A$1:$A$49,0), MATCH(orders!L$1,  products!$A$1:$G$1,0))</f>
        <v>12.95</v>
      </c>
      <c r="M863" s="7">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 MATCH(orders!I$1,  products!$A$1:$G$1,0))</f>
        <v>Rob</v>
      </c>
      <c r="J864" t="str">
        <f>INDEX(products!$A$1:$G$49,MATCH(orders!$D864,products!$A$1:$A$49,0), MATCH(orders!J$1,  products!$A$1:$G$1,0))</f>
        <v>M</v>
      </c>
      <c r="K864" s="4">
        <f>INDEX(products!$A$1:$G$49,MATCH(orders!$D864,products!$A$1:$A$49,0), MATCH(orders!K$1,  products!$A$1:$G$1,0))</f>
        <v>1</v>
      </c>
      <c r="L864" s="7">
        <f>INDEX(products!$A$1:$G$49,MATCH(orders!$D864,products!$A$1:$A$49,0), MATCH(orders!L$1,  products!$A$1:$G$1,0))</f>
        <v>9.9499999999999993</v>
      </c>
      <c r="M864" s="7">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 MATCH(orders!I$1,  products!$A$1:$G$1,0))</f>
        <v>Lib</v>
      </c>
      <c r="J865" t="str">
        <f>INDEX(products!$A$1:$G$49,MATCH(orders!$D865,products!$A$1:$A$49,0), MATCH(orders!J$1,  products!$A$1:$G$1,0))</f>
        <v>M</v>
      </c>
      <c r="K865" s="4">
        <f>INDEX(products!$A$1:$G$49,MATCH(orders!$D865,products!$A$1:$A$49,0), MATCH(orders!K$1,  products!$A$1:$G$1,0))</f>
        <v>1</v>
      </c>
      <c r="L865" s="7">
        <f>INDEX(products!$A$1:$G$49,MATCH(orders!$D865,products!$A$1:$A$49,0), MATCH(orders!L$1,  products!$A$1:$G$1,0))</f>
        <v>14.55</v>
      </c>
      <c r="M865" s="7">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 MATCH(orders!I$1,  products!$A$1:$G$1,0))</f>
        <v>Rob</v>
      </c>
      <c r="J866" t="str">
        <f>INDEX(products!$A$1:$G$49,MATCH(orders!$D866,products!$A$1:$A$49,0), MATCH(orders!J$1,  products!$A$1:$G$1,0))</f>
        <v>L</v>
      </c>
      <c r="K866" s="4">
        <f>INDEX(products!$A$1:$G$49,MATCH(orders!$D866,products!$A$1:$A$49,0), MATCH(orders!K$1,  products!$A$1:$G$1,0))</f>
        <v>0.2</v>
      </c>
      <c r="L866" s="7">
        <f>INDEX(products!$A$1:$G$49,MATCH(orders!$D866,products!$A$1:$A$49,0), MATCH(orders!L$1,  products!$A$1:$G$1,0))</f>
        <v>3.5849999999999995</v>
      </c>
      <c r="M866" s="7">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 MATCH(orders!I$1,  products!$A$1:$G$1,0))</f>
        <v>Ara</v>
      </c>
      <c r="J867" t="str">
        <f>INDEX(products!$A$1:$G$49,MATCH(orders!$D867,products!$A$1:$A$49,0), MATCH(orders!J$1,  products!$A$1:$G$1,0))</f>
        <v>M</v>
      </c>
      <c r="K867" s="4">
        <f>INDEX(products!$A$1:$G$49,MATCH(orders!$D867,products!$A$1:$A$49,0), MATCH(orders!K$1,  products!$A$1:$G$1,0))</f>
        <v>0.5</v>
      </c>
      <c r="L867" s="7">
        <f>INDEX(products!$A$1:$G$49,MATCH(orders!$D867,products!$A$1:$A$49,0), MATCH(orders!L$1,  products!$A$1:$G$1,0))</f>
        <v>6.75</v>
      </c>
      <c r="M867" s="7">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 MATCH(orders!I$1,  products!$A$1:$G$1,0))</f>
        <v>Ara</v>
      </c>
      <c r="J868" t="str">
        <f>INDEX(products!$A$1:$G$49,MATCH(orders!$D868,products!$A$1:$A$49,0), MATCH(orders!J$1,  products!$A$1:$G$1,0))</f>
        <v>D</v>
      </c>
      <c r="K868" s="4">
        <f>INDEX(products!$A$1:$G$49,MATCH(orders!$D868,products!$A$1:$A$49,0), MATCH(orders!K$1,  products!$A$1:$G$1,0))</f>
        <v>0.5</v>
      </c>
      <c r="L868" s="7">
        <f>INDEX(products!$A$1:$G$49,MATCH(orders!$D868,products!$A$1:$A$49,0), MATCH(orders!L$1,  products!$A$1:$G$1,0))</f>
        <v>5.97</v>
      </c>
      <c r="M868" s="7">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 MATCH(orders!I$1,  products!$A$1:$G$1,0))</f>
        <v>Ara</v>
      </c>
      <c r="J869" t="str">
        <f>INDEX(products!$A$1:$G$49,MATCH(orders!$D869,products!$A$1:$A$49,0), MATCH(orders!J$1,  products!$A$1:$G$1,0))</f>
        <v>L</v>
      </c>
      <c r="K869" s="4">
        <f>INDEX(products!$A$1:$G$49,MATCH(orders!$D869,products!$A$1:$A$49,0), MATCH(orders!K$1,  products!$A$1:$G$1,0))</f>
        <v>2.5</v>
      </c>
      <c r="L869" s="7">
        <f>INDEX(products!$A$1:$G$49,MATCH(orders!$D869,products!$A$1:$A$49,0), MATCH(orders!L$1,  products!$A$1:$G$1,0))</f>
        <v>29.784999999999997</v>
      </c>
      <c r="M869" s="7">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 MATCH(orders!I$1,  products!$A$1:$G$1,0))</f>
        <v>Exc</v>
      </c>
      <c r="J870" t="str">
        <f>INDEX(products!$A$1:$G$49,MATCH(orders!$D870,products!$A$1:$A$49,0), MATCH(orders!J$1,  products!$A$1:$G$1,0))</f>
        <v>M</v>
      </c>
      <c r="K870" s="4">
        <f>INDEX(products!$A$1:$G$49,MATCH(orders!$D870,products!$A$1:$A$49,0), MATCH(orders!K$1,  products!$A$1:$G$1,0))</f>
        <v>0.5</v>
      </c>
      <c r="L870" s="7">
        <f>INDEX(products!$A$1:$G$49,MATCH(orders!$D870,products!$A$1:$A$49,0), MATCH(orders!L$1,  products!$A$1:$G$1,0))</f>
        <v>8.25</v>
      </c>
      <c r="M870" s="7">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 MATCH(orders!I$1,  products!$A$1:$G$1,0))</f>
        <v>Rob</v>
      </c>
      <c r="J871" t="str">
        <f>INDEX(products!$A$1:$G$49,MATCH(orders!$D871,products!$A$1:$A$49,0), MATCH(orders!J$1,  products!$A$1:$G$1,0))</f>
        <v>M</v>
      </c>
      <c r="K871" s="4">
        <f>INDEX(products!$A$1:$G$49,MATCH(orders!$D871,products!$A$1:$A$49,0), MATCH(orders!K$1,  products!$A$1:$G$1,0))</f>
        <v>0.5</v>
      </c>
      <c r="L871" s="7">
        <f>INDEX(products!$A$1:$G$49,MATCH(orders!$D871,products!$A$1:$A$49,0), MATCH(orders!L$1,  products!$A$1:$G$1,0))</f>
        <v>5.97</v>
      </c>
      <c r="M871" s="7">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 MATCH(orders!I$1,  products!$A$1:$G$1,0))</f>
        <v>Exc</v>
      </c>
      <c r="J872" t="str">
        <f>INDEX(products!$A$1:$G$49,MATCH(orders!$D872,products!$A$1:$A$49,0), MATCH(orders!J$1,  products!$A$1:$G$1,0))</f>
        <v>D</v>
      </c>
      <c r="K872" s="4">
        <f>INDEX(products!$A$1:$G$49,MATCH(orders!$D872,products!$A$1:$A$49,0), MATCH(orders!K$1,  products!$A$1:$G$1,0))</f>
        <v>0.5</v>
      </c>
      <c r="L872" s="7">
        <f>INDEX(products!$A$1:$G$49,MATCH(orders!$D872,products!$A$1:$A$49,0), MATCH(orders!L$1,  products!$A$1:$G$1,0))</f>
        <v>7.29</v>
      </c>
      <c r="M872" s="7">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 MATCH(orders!I$1,  products!$A$1:$G$1,0))</f>
        <v>Exc</v>
      </c>
      <c r="J873" t="str">
        <f>INDEX(products!$A$1:$G$49,MATCH(orders!$D873,products!$A$1:$A$49,0), MATCH(orders!J$1,  products!$A$1:$G$1,0))</f>
        <v>L</v>
      </c>
      <c r="K873" s="4">
        <f>INDEX(products!$A$1:$G$49,MATCH(orders!$D873,products!$A$1:$A$49,0), MATCH(orders!K$1,  products!$A$1:$G$1,0))</f>
        <v>1</v>
      </c>
      <c r="L873" s="7">
        <f>INDEX(products!$A$1:$G$49,MATCH(orders!$D873,products!$A$1:$A$49,0), MATCH(orders!L$1,  products!$A$1:$G$1,0))</f>
        <v>14.85</v>
      </c>
      <c r="M873" s="7">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 MATCH(orders!I$1,  products!$A$1:$G$1,0))</f>
        <v>Ara</v>
      </c>
      <c r="J874" t="str">
        <f>INDEX(products!$A$1:$G$49,MATCH(orders!$D874,products!$A$1:$A$49,0), MATCH(orders!J$1,  products!$A$1:$G$1,0))</f>
        <v>M</v>
      </c>
      <c r="K874" s="4">
        <f>INDEX(products!$A$1:$G$49,MATCH(orders!$D874,products!$A$1:$A$49,0), MATCH(orders!K$1,  products!$A$1:$G$1,0))</f>
        <v>1</v>
      </c>
      <c r="L874" s="7">
        <f>INDEX(products!$A$1:$G$49,MATCH(orders!$D874,products!$A$1:$A$49,0), MATCH(orders!L$1,  products!$A$1:$G$1,0))</f>
        <v>11.25</v>
      </c>
      <c r="M874" s="7">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 MATCH(orders!I$1,  products!$A$1:$G$1,0))</f>
        <v>Rob</v>
      </c>
      <c r="J875" t="str">
        <f>INDEX(products!$A$1:$G$49,MATCH(orders!$D875,products!$A$1:$A$49,0), MATCH(orders!J$1,  products!$A$1:$G$1,0))</f>
        <v>M</v>
      </c>
      <c r="K875" s="4">
        <f>INDEX(products!$A$1:$G$49,MATCH(orders!$D875,products!$A$1:$A$49,0), MATCH(orders!K$1,  products!$A$1:$G$1,0))</f>
        <v>0.2</v>
      </c>
      <c r="L875" s="7">
        <f>INDEX(products!$A$1:$G$49,MATCH(orders!$D875,products!$A$1:$A$49,0), MATCH(orders!L$1,  products!$A$1:$G$1,0))</f>
        <v>2.9849999999999999</v>
      </c>
      <c r="M875" s="7">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 MATCH(orders!I$1,  products!$A$1:$G$1,0))</f>
        <v>Ara</v>
      </c>
      <c r="J876" t="str">
        <f>INDEX(products!$A$1:$G$49,MATCH(orders!$D876,products!$A$1:$A$49,0), MATCH(orders!J$1,  products!$A$1:$G$1,0))</f>
        <v>L</v>
      </c>
      <c r="K876" s="4">
        <f>INDEX(products!$A$1:$G$49,MATCH(orders!$D876,products!$A$1:$A$49,0), MATCH(orders!K$1,  products!$A$1:$G$1,0))</f>
        <v>1</v>
      </c>
      <c r="L876" s="7">
        <f>INDEX(products!$A$1:$G$49,MATCH(orders!$D876,products!$A$1:$A$49,0), MATCH(orders!L$1,  products!$A$1:$G$1,0))</f>
        <v>12.95</v>
      </c>
      <c r="M876" s="7">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 MATCH(orders!I$1,  products!$A$1:$G$1,0))</f>
        <v>Lib</v>
      </c>
      <c r="J877" t="str">
        <f>INDEX(products!$A$1:$G$49,MATCH(orders!$D877,products!$A$1:$A$49,0), MATCH(orders!J$1,  products!$A$1:$G$1,0))</f>
        <v>M</v>
      </c>
      <c r="K877" s="4">
        <f>INDEX(products!$A$1:$G$49,MATCH(orders!$D877,products!$A$1:$A$49,0), MATCH(orders!K$1,  products!$A$1:$G$1,0))</f>
        <v>0.5</v>
      </c>
      <c r="L877" s="7">
        <f>INDEX(products!$A$1:$G$49,MATCH(orders!$D877,products!$A$1:$A$49,0), MATCH(orders!L$1,  products!$A$1:$G$1,0))</f>
        <v>8.73</v>
      </c>
      <c r="M877" s="7">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 MATCH(orders!I$1,  products!$A$1:$G$1,0))</f>
        <v>Ara</v>
      </c>
      <c r="J878" t="str">
        <f>INDEX(products!$A$1:$G$49,MATCH(orders!$D878,products!$A$1:$A$49,0), MATCH(orders!J$1,  products!$A$1:$G$1,0))</f>
        <v>L</v>
      </c>
      <c r="K878" s="4">
        <f>INDEX(products!$A$1:$G$49,MATCH(orders!$D878,products!$A$1:$A$49,0), MATCH(orders!K$1,  products!$A$1:$G$1,0))</f>
        <v>0.5</v>
      </c>
      <c r="L878" s="7">
        <f>INDEX(products!$A$1:$G$49,MATCH(orders!$D878,products!$A$1:$A$49,0), MATCH(orders!L$1,  products!$A$1:$G$1,0))</f>
        <v>7.77</v>
      </c>
      <c r="M878" s="7">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 MATCH(orders!I$1,  products!$A$1:$G$1,0))</f>
        <v>Lib</v>
      </c>
      <c r="J879" t="str">
        <f>INDEX(products!$A$1:$G$49,MATCH(orders!$D879,products!$A$1:$A$49,0), MATCH(orders!J$1,  products!$A$1:$G$1,0))</f>
        <v>L</v>
      </c>
      <c r="K879" s="4">
        <f>INDEX(products!$A$1:$G$49,MATCH(orders!$D879,products!$A$1:$A$49,0), MATCH(orders!K$1,  products!$A$1:$G$1,0))</f>
        <v>0.5</v>
      </c>
      <c r="L879" s="7">
        <f>INDEX(products!$A$1:$G$49,MATCH(orders!$D879,products!$A$1:$A$49,0), MATCH(orders!L$1,  products!$A$1:$G$1,0))</f>
        <v>9.51</v>
      </c>
      <c r="M879" s="7">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 MATCH(orders!I$1,  products!$A$1:$G$1,0))</f>
        <v>Rob</v>
      </c>
      <c r="J880" t="str">
        <f>INDEX(products!$A$1:$G$49,MATCH(orders!$D880,products!$A$1:$A$49,0), MATCH(orders!J$1,  products!$A$1:$G$1,0))</f>
        <v>L</v>
      </c>
      <c r="K880" s="4">
        <f>INDEX(products!$A$1:$G$49,MATCH(orders!$D880,products!$A$1:$A$49,0), MATCH(orders!K$1,  products!$A$1:$G$1,0))</f>
        <v>2.5</v>
      </c>
      <c r="L880" s="7">
        <f>INDEX(products!$A$1:$G$49,MATCH(orders!$D880,products!$A$1:$A$49,0), MATCH(orders!L$1,  products!$A$1:$G$1,0))</f>
        <v>27.484999999999996</v>
      </c>
      <c r="M880" s="7">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 MATCH(orders!I$1,  products!$A$1:$G$1,0))</f>
        <v>Exc</v>
      </c>
      <c r="J881" t="str">
        <f>INDEX(products!$A$1:$G$49,MATCH(orders!$D881,products!$A$1:$A$49,0), MATCH(orders!J$1,  products!$A$1:$G$1,0))</f>
        <v>D</v>
      </c>
      <c r="K881" s="4">
        <f>INDEX(products!$A$1:$G$49,MATCH(orders!$D881,products!$A$1:$A$49,0), MATCH(orders!K$1,  products!$A$1:$G$1,0))</f>
        <v>0.2</v>
      </c>
      <c r="L881" s="7">
        <f>INDEX(products!$A$1:$G$49,MATCH(orders!$D881,products!$A$1:$A$49,0), MATCH(orders!L$1,  products!$A$1:$G$1,0))</f>
        <v>3.645</v>
      </c>
      <c r="M881" s="7">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 MATCH(orders!I$1,  products!$A$1:$G$1,0))</f>
        <v>Rob</v>
      </c>
      <c r="J882" t="str">
        <f>INDEX(products!$A$1:$G$49,MATCH(orders!$D882,products!$A$1:$A$49,0), MATCH(orders!J$1,  products!$A$1:$G$1,0))</f>
        <v>L</v>
      </c>
      <c r="K882" s="4">
        <f>INDEX(products!$A$1:$G$49,MATCH(orders!$D882,products!$A$1:$A$49,0), MATCH(orders!K$1,  products!$A$1:$G$1,0))</f>
        <v>0.2</v>
      </c>
      <c r="L882" s="7">
        <f>INDEX(products!$A$1:$G$49,MATCH(orders!$D882,products!$A$1:$A$49,0), MATCH(orders!L$1,  products!$A$1:$G$1,0))</f>
        <v>3.5849999999999995</v>
      </c>
      <c r="M882" s="7">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 MATCH(orders!I$1,  products!$A$1:$G$1,0))</f>
        <v>Ara</v>
      </c>
      <c r="J883" t="str">
        <f>INDEX(products!$A$1:$G$49,MATCH(orders!$D883,products!$A$1:$A$49,0), MATCH(orders!J$1,  products!$A$1:$G$1,0))</f>
        <v>L</v>
      </c>
      <c r="K883" s="4">
        <f>INDEX(products!$A$1:$G$49,MATCH(orders!$D883,products!$A$1:$A$49,0), MATCH(orders!K$1,  products!$A$1:$G$1,0))</f>
        <v>0.2</v>
      </c>
      <c r="L883" s="7">
        <f>INDEX(products!$A$1:$G$49,MATCH(orders!$D883,products!$A$1:$A$49,0), MATCH(orders!L$1,  products!$A$1:$G$1,0))</f>
        <v>3.8849999999999998</v>
      </c>
      <c r="M883" s="7">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 MATCH(orders!I$1,  products!$A$1:$G$1,0))</f>
        <v>Ara</v>
      </c>
      <c r="J884" t="str">
        <f>INDEX(products!$A$1:$G$49,MATCH(orders!$D884,products!$A$1:$A$49,0), MATCH(orders!J$1,  products!$A$1:$G$1,0))</f>
        <v>D</v>
      </c>
      <c r="K884" s="4">
        <f>INDEX(products!$A$1:$G$49,MATCH(orders!$D884,products!$A$1:$A$49,0), MATCH(orders!K$1,  products!$A$1:$G$1,0))</f>
        <v>2.5</v>
      </c>
      <c r="L884" s="7">
        <f>INDEX(products!$A$1:$G$49,MATCH(orders!$D884,products!$A$1:$A$49,0), MATCH(orders!L$1,  products!$A$1:$G$1,0))</f>
        <v>22.884999999999998</v>
      </c>
      <c r="M884" s="7">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 MATCH(orders!I$1,  products!$A$1:$G$1,0))</f>
        <v>Ara</v>
      </c>
      <c r="J885" t="str">
        <f>INDEX(products!$A$1:$G$49,MATCH(orders!$D885,products!$A$1:$A$49,0), MATCH(orders!J$1,  products!$A$1:$G$1,0))</f>
        <v>M</v>
      </c>
      <c r="K885" s="4">
        <f>INDEX(products!$A$1:$G$49,MATCH(orders!$D885,products!$A$1:$A$49,0), MATCH(orders!K$1,  products!$A$1:$G$1,0))</f>
        <v>2.5</v>
      </c>
      <c r="L885" s="7">
        <f>INDEX(products!$A$1:$G$49,MATCH(orders!$D885,products!$A$1:$A$49,0), MATCH(orders!L$1,  products!$A$1:$G$1,0))</f>
        <v>25.874999999999996</v>
      </c>
      <c r="M885" s="7">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 MATCH(orders!I$1,  products!$A$1:$G$1,0))</f>
        <v>Rob</v>
      </c>
      <c r="J886" t="str">
        <f>INDEX(products!$A$1:$G$49,MATCH(orders!$D886,products!$A$1:$A$49,0), MATCH(orders!J$1,  products!$A$1:$G$1,0))</f>
        <v>D</v>
      </c>
      <c r="K886" s="4">
        <f>INDEX(products!$A$1:$G$49,MATCH(orders!$D886,products!$A$1:$A$49,0), MATCH(orders!K$1,  products!$A$1:$G$1,0))</f>
        <v>0.5</v>
      </c>
      <c r="L886" s="7">
        <f>INDEX(products!$A$1:$G$49,MATCH(orders!$D886,products!$A$1:$A$49,0), MATCH(orders!L$1,  products!$A$1:$G$1,0))</f>
        <v>5.3699999999999992</v>
      </c>
      <c r="M886" s="7">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 MATCH(orders!I$1,  products!$A$1:$G$1,0))</f>
        <v>Rob</v>
      </c>
      <c r="J887" t="str">
        <f>INDEX(products!$A$1:$G$49,MATCH(orders!$D887,products!$A$1:$A$49,0), MATCH(orders!J$1,  products!$A$1:$G$1,0))</f>
        <v>D</v>
      </c>
      <c r="K887" s="4">
        <f>INDEX(products!$A$1:$G$49,MATCH(orders!$D887,products!$A$1:$A$49,0), MATCH(orders!K$1,  products!$A$1:$G$1,0))</f>
        <v>2.5</v>
      </c>
      <c r="L887" s="7">
        <f>INDEX(products!$A$1:$G$49,MATCH(orders!$D887,products!$A$1:$A$49,0), MATCH(orders!L$1,  products!$A$1:$G$1,0))</f>
        <v>20.584999999999997</v>
      </c>
      <c r="M887" s="7">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 MATCH(orders!I$1,  products!$A$1:$G$1,0))</f>
        <v>Lib</v>
      </c>
      <c r="J888" t="str">
        <f>INDEX(products!$A$1:$G$49,MATCH(orders!$D888,products!$A$1:$A$49,0), MATCH(orders!J$1,  products!$A$1:$G$1,0))</f>
        <v>M</v>
      </c>
      <c r="K888" s="4">
        <f>INDEX(products!$A$1:$G$49,MATCH(orders!$D888,products!$A$1:$A$49,0), MATCH(orders!K$1,  products!$A$1:$G$1,0))</f>
        <v>0.5</v>
      </c>
      <c r="L888" s="7">
        <f>INDEX(products!$A$1:$G$49,MATCH(orders!$D888,products!$A$1:$A$49,0), MATCH(orders!L$1,  products!$A$1:$G$1,0))</f>
        <v>8.73</v>
      </c>
      <c r="M888" s="7">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 MATCH(orders!I$1,  products!$A$1:$G$1,0))</f>
        <v>Exc</v>
      </c>
      <c r="J889" t="str">
        <f>INDEX(products!$A$1:$G$49,MATCH(orders!$D889,products!$A$1:$A$49,0), MATCH(orders!J$1,  products!$A$1:$G$1,0))</f>
        <v>L</v>
      </c>
      <c r="K889" s="4">
        <f>INDEX(products!$A$1:$G$49,MATCH(orders!$D889,products!$A$1:$A$49,0), MATCH(orders!K$1,  products!$A$1:$G$1,0))</f>
        <v>0.2</v>
      </c>
      <c r="L889" s="7">
        <f>INDEX(products!$A$1:$G$49,MATCH(orders!$D889,products!$A$1:$A$49,0), MATCH(orders!L$1,  products!$A$1:$G$1,0))</f>
        <v>4.4550000000000001</v>
      </c>
      <c r="M889" s="7">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 MATCH(orders!I$1,  products!$A$1:$G$1,0))</f>
        <v>Ara</v>
      </c>
      <c r="J890" t="str">
        <f>INDEX(products!$A$1:$G$49,MATCH(orders!$D890,products!$A$1:$A$49,0), MATCH(orders!J$1,  products!$A$1:$G$1,0))</f>
        <v>L</v>
      </c>
      <c r="K890" s="4">
        <f>INDEX(products!$A$1:$G$49,MATCH(orders!$D890,products!$A$1:$A$49,0), MATCH(orders!K$1,  products!$A$1:$G$1,0))</f>
        <v>0.2</v>
      </c>
      <c r="L890" s="7">
        <f>INDEX(products!$A$1:$G$49,MATCH(orders!$D890,products!$A$1:$A$49,0), MATCH(orders!L$1,  products!$A$1:$G$1,0))</f>
        <v>3.8849999999999998</v>
      </c>
      <c r="M890" s="7">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 MATCH(orders!I$1,  products!$A$1:$G$1,0))</f>
        <v>Rob</v>
      </c>
      <c r="J891" t="str">
        <f>INDEX(products!$A$1:$G$49,MATCH(orders!$D891,products!$A$1:$A$49,0), MATCH(orders!J$1,  products!$A$1:$G$1,0))</f>
        <v>D</v>
      </c>
      <c r="K891" s="4">
        <f>INDEX(products!$A$1:$G$49,MATCH(orders!$D891,products!$A$1:$A$49,0), MATCH(orders!K$1,  products!$A$1:$G$1,0))</f>
        <v>0.2</v>
      </c>
      <c r="L891" s="7">
        <f>INDEX(products!$A$1:$G$49,MATCH(orders!$D891,products!$A$1:$A$49,0), MATCH(orders!L$1,  products!$A$1:$G$1,0))</f>
        <v>2.6849999999999996</v>
      </c>
      <c r="M891" s="7">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 MATCH(orders!I$1,  products!$A$1:$G$1,0))</f>
        <v>Rob</v>
      </c>
      <c r="J892" t="str">
        <f>INDEX(products!$A$1:$G$49,MATCH(orders!$D892,products!$A$1:$A$49,0), MATCH(orders!J$1,  products!$A$1:$G$1,0))</f>
        <v>D</v>
      </c>
      <c r="K892" s="4">
        <f>INDEX(products!$A$1:$G$49,MATCH(orders!$D892,products!$A$1:$A$49,0), MATCH(orders!K$1,  products!$A$1:$G$1,0))</f>
        <v>2.5</v>
      </c>
      <c r="L892" s="7">
        <f>INDEX(products!$A$1:$G$49,MATCH(orders!$D892,products!$A$1:$A$49,0), MATCH(orders!L$1,  products!$A$1:$G$1,0))</f>
        <v>20.584999999999997</v>
      </c>
      <c r="M892" s="7">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 MATCH(orders!I$1,  products!$A$1:$G$1,0))</f>
        <v>Ara</v>
      </c>
      <c r="J893" t="str">
        <f>INDEX(products!$A$1:$G$49,MATCH(orders!$D893,products!$A$1:$A$49,0), MATCH(orders!J$1,  products!$A$1:$G$1,0))</f>
        <v>D</v>
      </c>
      <c r="K893" s="4">
        <f>INDEX(products!$A$1:$G$49,MATCH(orders!$D893,products!$A$1:$A$49,0), MATCH(orders!K$1,  products!$A$1:$G$1,0))</f>
        <v>2.5</v>
      </c>
      <c r="L893" s="7">
        <f>INDEX(products!$A$1:$G$49,MATCH(orders!$D893,products!$A$1:$A$49,0), MATCH(orders!L$1,  products!$A$1:$G$1,0))</f>
        <v>22.884999999999998</v>
      </c>
      <c r="M893" s="7">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 MATCH(orders!I$1,  products!$A$1:$G$1,0))</f>
        <v>Exc</v>
      </c>
      <c r="J894" t="str">
        <f>INDEX(products!$A$1:$G$49,MATCH(orders!$D894,products!$A$1:$A$49,0), MATCH(orders!J$1,  products!$A$1:$G$1,0))</f>
        <v>M</v>
      </c>
      <c r="K894" s="4">
        <f>INDEX(products!$A$1:$G$49,MATCH(orders!$D894,products!$A$1:$A$49,0), MATCH(orders!K$1,  products!$A$1:$G$1,0))</f>
        <v>0.2</v>
      </c>
      <c r="L894" s="7">
        <f>INDEX(products!$A$1:$G$49,MATCH(orders!$D894,products!$A$1:$A$49,0), MATCH(orders!L$1,  products!$A$1:$G$1,0))</f>
        <v>4.125</v>
      </c>
      <c r="M894" s="7">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 MATCH(orders!I$1,  products!$A$1:$G$1,0))</f>
        <v>Lib</v>
      </c>
      <c r="J895" t="str">
        <f>INDEX(products!$A$1:$G$49,MATCH(orders!$D895,products!$A$1:$A$49,0), MATCH(orders!J$1,  products!$A$1:$G$1,0))</f>
        <v>L</v>
      </c>
      <c r="K895" s="4">
        <f>INDEX(products!$A$1:$G$49,MATCH(orders!$D895,products!$A$1:$A$49,0), MATCH(orders!K$1,  products!$A$1:$G$1,0))</f>
        <v>0.5</v>
      </c>
      <c r="L895" s="7">
        <f>INDEX(products!$A$1:$G$49,MATCH(orders!$D895,products!$A$1:$A$49,0), MATCH(orders!L$1,  products!$A$1:$G$1,0))</f>
        <v>9.51</v>
      </c>
      <c r="M895" s="7">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 MATCH(orders!I$1,  products!$A$1:$G$1,0))</f>
        <v>Rob</v>
      </c>
      <c r="J896" t="str">
        <f>INDEX(products!$A$1:$G$49,MATCH(orders!$D896,products!$A$1:$A$49,0), MATCH(orders!J$1,  products!$A$1:$G$1,0))</f>
        <v>D</v>
      </c>
      <c r="K896" s="4">
        <f>INDEX(products!$A$1:$G$49,MATCH(orders!$D896,products!$A$1:$A$49,0), MATCH(orders!K$1,  products!$A$1:$G$1,0))</f>
        <v>2.5</v>
      </c>
      <c r="L896" s="7">
        <f>INDEX(products!$A$1:$G$49,MATCH(orders!$D896,products!$A$1:$A$49,0), MATCH(orders!L$1,  products!$A$1:$G$1,0))</f>
        <v>20.584999999999997</v>
      </c>
      <c r="M896" s="7">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 MATCH(orders!I$1,  products!$A$1:$G$1,0))</f>
        <v>Exc</v>
      </c>
      <c r="J897" t="str">
        <f>INDEX(products!$A$1:$G$49,MATCH(orders!$D897,products!$A$1:$A$49,0), MATCH(orders!J$1,  products!$A$1:$G$1,0))</f>
        <v>M</v>
      </c>
      <c r="K897" s="4">
        <f>INDEX(products!$A$1:$G$49,MATCH(orders!$D897,products!$A$1:$A$49,0), MATCH(orders!K$1,  products!$A$1:$G$1,0))</f>
        <v>2.5</v>
      </c>
      <c r="L897" s="7">
        <f>INDEX(products!$A$1:$G$49,MATCH(orders!$D897,products!$A$1:$A$49,0), MATCH(orders!L$1,  products!$A$1:$G$1,0))</f>
        <v>31.624999999999996</v>
      </c>
      <c r="M897" s="7">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 MATCH(orders!I$1,  products!$A$1:$G$1,0))</f>
        <v>Rob</v>
      </c>
      <c r="J898" t="str">
        <f>INDEX(products!$A$1:$G$49,MATCH(orders!$D898,products!$A$1:$A$49,0), MATCH(orders!J$1,  products!$A$1:$G$1,0))</f>
        <v>D</v>
      </c>
      <c r="K898" s="4">
        <f>INDEX(products!$A$1:$G$49,MATCH(orders!$D898,products!$A$1:$A$49,0), MATCH(orders!K$1,  products!$A$1:$G$1,0))</f>
        <v>0.5</v>
      </c>
      <c r="L898" s="7">
        <f>INDEX(products!$A$1:$G$49,MATCH(orders!$D898,products!$A$1:$A$49,0), MATCH(orders!L$1,  products!$A$1:$G$1,0))</f>
        <v>5.3699999999999992</v>
      </c>
      <c r="M898" s="7">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 MATCH(orders!I$1,  products!$A$1:$G$1,0))</f>
        <v>Exc</v>
      </c>
      <c r="J899" t="str">
        <f>INDEX(products!$A$1:$G$49,MATCH(orders!$D899,products!$A$1:$A$49,0), MATCH(orders!J$1,  products!$A$1:$G$1,0))</f>
        <v>D</v>
      </c>
      <c r="K899" s="4">
        <f>INDEX(products!$A$1:$G$49,MATCH(orders!$D899,products!$A$1:$A$49,0), MATCH(orders!K$1,  products!$A$1:$G$1,0))</f>
        <v>1</v>
      </c>
      <c r="L899" s="7">
        <f>INDEX(products!$A$1:$G$49,MATCH(orders!$D899,products!$A$1:$A$49,0), MATCH(orders!L$1,  products!$A$1:$G$1,0))</f>
        <v>12.15</v>
      </c>
      <c r="M899" s="7">
        <f t="shared" ref="M899:M962" si="42">L899*E899</f>
        <v>24.3</v>
      </c>
      <c r="N899" t="str">
        <f t="shared" ref="N899:N962" si="43">IF(I899="Rob","Robusta", IF(I899="Exc","Excelsa", IF(I899="Ara", "Arabica", IF(I899="Lib", "Liberica", ""))))</f>
        <v>Excelsa</v>
      </c>
      <c r="O899" t="str">
        <f t="shared" ref="O899:O962" si="44">IF(J899="M", "Medium", IF(J899="L", "Light",IF(J899="D","Dark","")))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 MATCH(orders!I$1,  products!$A$1:$G$1,0))</f>
        <v>Rob</v>
      </c>
      <c r="J900" t="str">
        <f>INDEX(products!$A$1:$G$49,MATCH(orders!$D900,products!$A$1:$A$49,0), MATCH(orders!J$1,  products!$A$1:$G$1,0))</f>
        <v>L</v>
      </c>
      <c r="K900" s="4">
        <f>INDEX(products!$A$1:$G$49,MATCH(orders!$D900,products!$A$1:$A$49,0), MATCH(orders!K$1,  products!$A$1:$G$1,0))</f>
        <v>0.5</v>
      </c>
      <c r="L900" s="7">
        <f>INDEX(products!$A$1:$G$49,MATCH(orders!$D900,products!$A$1:$A$49,0), MATCH(orders!L$1,  products!$A$1:$G$1,0))</f>
        <v>7.169999999999999</v>
      </c>
      <c r="M900" s="7">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 MATCH(orders!I$1,  products!$A$1:$G$1,0))</f>
        <v>Lib</v>
      </c>
      <c r="J901" t="str">
        <f>INDEX(products!$A$1:$G$49,MATCH(orders!$D901,products!$A$1:$A$49,0), MATCH(orders!J$1,  products!$A$1:$G$1,0))</f>
        <v>M</v>
      </c>
      <c r="K901" s="4">
        <f>INDEX(products!$A$1:$G$49,MATCH(orders!$D901,products!$A$1:$A$49,0), MATCH(orders!K$1,  products!$A$1:$G$1,0))</f>
        <v>1</v>
      </c>
      <c r="L901" s="7">
        <f>INDEX(products!$A$1:$G$49,MATCH(orders!$D901,products!$A$1:$A$49,0), MATCH(orders!L$1,  products!$A$1:$G$1,0))</f>
        <v>14.55</v>
      </c>
      <c r="M901" s="7">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 MATCH(orders!I$1,  products!$A$1:$G$1,0))</f>
        <v>Lib</v>
      </c>
      <c r="J902" t="str">
        <f>INDEX(products!$A$1:$G$49,MATCH(orders!$D902,products!$A$1:$A$49,0), MATCH(orders!J$1,  products!$A$1:$G$1,0))</f>
        <v>L</v>
      </c>
      <c r="K902" s="4">
        <f>INDEX(products!$A$1:$G$49,MATCH(orders!$D902,products!$A$1:$A$49,0), MATCH(orders!K$1,  products!$A$1:$G$1,0))</f>
        <v>1</v>
      </c>
      <c r="L902" s="7">
        <f>INDEX(products!$A$1:$G$49,MATCH(orders!$D902,products!$A$1:$A$49,0), MATCH(orders!L$1,  products!$A$1:$G$1,0))</f>
        <v>15.85</v>
      </c>
      <c r="M902" s="7">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 MATCH(orders!I$1,  products!$A$1:$G$1,0))</f>
        <v>Rob</v>
      </c>
      <c r="J903" t="str">
        <f>INDEX(products!$A$1:$G$49,MATCH(orders!$D903,products!$A$1:$A$49,0), MATCH(orders!J$1,  products!$A$1:$G$1,0))</f>
        <v>L</v>
      </c>
      <c r="K903" s="4">
        <f>INDEX(products!$A$1:$G$49,MATCH(orders!$D903,products!$A$1:$A$49,0), MATCH(orders!K$1,  products!$A$1:$G$1,0))</f>
        <v>0.2</v>
      </c>
      <c r="L903" s="7">
        <f>INDEX(products!$A$1:$G$49,MATCH(orders!$D903,products!$A$1:$A$49,0), MATCH(orders!L$1,  products!$A$1:$G$1,0))</f>
        <v>3.5849999999999995</v>
      </c>
      <c r="M903" s="7">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 MATCH(orders!I$1,  products!$A$1:$G$1,0))</f>
        <v>Exc</v>
      </c>
      <c r="J904" t="str">
        <f>INDEX(products!$A$1:$G$49,MATCH(orders!$D904,products!$A$1:$A$49,0), MATCH(orders!J$1,  products!$A$1:$G$1,0))</f>
        <v>M</v>
      </c>
      <c r="K904" s="4">
        <f>INDEX(products!$A$1:$G$49,MATCH(orders!$D904,products!$A$1:$A$49,0), MATCH(orders!K$1,  products!$A$1:$G$1,0))</f>
        <v>2.5</v>
      </c>
      <c r="L904" s="7">
        <f>INDEX(products!$A$1:$G$49,MATCH(orders!$D904,products!$A$1:$A$49,0), MATCH(orders!L$1,  products!$A$1:$G$1,0))</f>
        <v>31.624999999999996</v>
      </c>
      <c r="M904" s="7">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 MATCH(orders!I$1,  products!$A$1:$G$1,0))</f>
        <v>Lib</v>
      </c>
      <c r="J905" t="str">
        <f>INDEX(products!$A$1:$G$49,MATCH(orders!$D905,products!$A$1:$A$49,0), MATCH(orders!J$1,  products!$A$1:$G$1,0))</f>
        <v>M</v>
      </c>
      <c r="K905" s="4">
        <f>INDEX(products!$A$1:$G$49,MATCH(orders!$D905,products!$A$1:$A$49,0), MATCH(orders!K$1,  products!$A$1:$G$1,0))</f>
        <v>0.5</v>
      </c>
      <c r="L905" s="7">
        <f>INDEX(products!$A$1:$G$49,MATCH(orders!$D905,products!$A$1:$A$49,0), MATCH(orders!L$1,  products!$A$1:$G$1,0))</f>
        <v>8.73</v>
      </c>
      <c r="M905" s="7">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 MATCH(orders!I$1,  products!$A$1:$G$1,0))</f>
        <v>Ara</v>
      </c>
      <c r="J906" t="str">
        <f>INDEX(products!$A$1:$G$49,MATCH(orders!$D906,products!$A$1:$A$49,0), MATCH(orders!J$1,  products!$A$1:$G$1,0))</f>
        <v>L</v>
      </c>
      <c r="K906" s="4">
        <f>INDEX(products!$A$1:$G$49,MATCH(orders!$D906,products!$A$1:$A$49,0), MATCH(orders!K$1,  products!$A$1:$G$1,0))</f>
        <v>2.5</v>
      </c>
      <c r="L906" s="7">
        <f>INDEX(products!$A$1:$G$49,MATCH(orders!$D906,products!$A$1:$A$49,0), MATCH(orders!L$1,  products!$A$1:$G$1,0))</f>
        <v>29.784999999999997</v>
      </c>
      <c r="M906" s="7">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 MATCH(orders!I$1,  products!$A$1:$G$1,0))</f>
        <v>Ara</v>
      </c>
      <c r="J907" t="str">
        <f>INDEX(products!$A$1:$G$49,MATCH(orders!$D907,products!$A$1:$A$49,0), MATCH(orders!J$1,  products!$A$1:$G$1,0))</f>
        <v>M</v>
      </c>
      <c r="K907" s="4">
        <f>INDEX(products!$A$1:$G$49,MATCH(orders!$D907,products!$A$1:$A$49,0), MATCH(orders!K$1,  products!$A$1:$G$1,0))</f>
        <v>0.5</v>
      </c>
      <c r="L907" s="7">
        <f>INDEX(products!$A$1:$G$49,MATCH(orders!$D907,products!$A$1:$A$49,0), MATCH(orders!L$1,  products!$A$1:$G$1,0))</f>
        <v>6.75</v>
      </c>
      <c r="M907" s="7">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 MATCH(orders!I$1,  products!$A$1:$G$1,0))</f>
        <v>Ara</v>
      </c>
      <c r="J908" t="str">
        <f>INDEX(products!$A$1:$G$49,MATCH(orders!$D908,products!$A$1:$A$49,0), MATCH(orders!J$1,  products!$A$1:$G$1,0))</f>
        <v>M</v>
      </c>
      <c r="K908" s="4">
        <f>INDEX(products!$A$1:$G$49,MATCH(orders!$D908,products!$A$1:$A$49,0), MATCH(orders!K$1,  products!$A$1:$G$1,0))</f>
        <v>0.5</v>
      </c>
      <c r="L908" s="7">
        <f>INDEX(products!$A$1:$G$49,MATCH(orders!$D908,products!$A$1:$A$49,0), MATCH(orders!L$1,  products!$A$1:$G$1,0))</f>
        <v>6.75</v>
      </c>
      <c r="M908" s="7">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 MATCH(orders!I$1,  products!$A$1:$G$1,0))</f>
        <v>Lib</v>
      </c>
      <c r="J909" t="str">
        <f>INDEX(products!$A$1:$G$49,MATCH(orders!$D909,products!$A$1:$A$49,0), MATCH(orders!J$1,  products!$A$1:$G$1,0))</f>
        <v>D</v>
      </c>
      <c r="K909" s="4">
        <f>INDEX(products!$A$1:$G$49,MATCH(orders!$D909,products!$A$1:$A$49,0), MATCH(orders!K$1,  products!$A$1:$G$1,0))</f>
        <v>1</v>
      </c>
      <c r="L909" s="7">
        <f>INDEX(products!$A$1:$G$49,MATCH(orders!$D909,products!$A$1:$A$49,0), MATCH(orders!L$1,  products!$A$1:$G$1,0))</f>
        <v>12.95</v>
      </c>
      <c r="M909" s="7">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 MATCH(orders!I$1,  products!$A$1:$G$1,0))</f>
        <v>Rob</v>
      </c>
      <c r="J910" t="str">
        <f>INDEX(products!$A$1:$G$49,MATCH(orders!$D910,products!$A$1:$A$49,0), MATCH(orders!J$1,  products!$A$1:$G$1,0))</f>
        <v>L</v>
      </c>
      <c r="K910" s="4">
        <f>INDEX(products!$A$1:$G$49,MATCH(orders!$D910,products!$A$1:$A$49,0), MATCH(orders!K$1,  products!$A$1:$G$1,0))</f>
        <v>1</v>
      </c>
      <c r="L910" s="7">
        <f>INDEX(products!$A$1:$G$49,MATCH(orders!$D910,products!$A$1:$A$49,0), MATCH(orders!L$1,  products!$A$1:$G$1,0))</f>
        <v>11.95</v>
      </c>
      <c r="M910" s="7">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 MATCH(orders!I$1,  products!$A$1:$G$1,0))</f>
        <v>Rob</v>
      </c>
      <c r="J911" t="str">
        <f>INDEX(products!$A$1:$G$49,MATCH(orders!$D911,products!$A$1:$A$49,0), MATCH(orders!J$1,  products!$A$1:$G$1,0))</f>
        <v>L</v>
      </c>
      <c r="K911" s="4">
        <f>INDEX(products!$A$1:$G$49,MATCH(orders!$D911,products!$A$1:$A$49,0), MATCH(orders!K$1,  products!$A$1:$G$1,0))</f>
        <v>0.2</v>
      </c>
      <c r="L911" s="7">
        <f>INDEX(products!$A$1:$G$49,MATCH(orders!$D911,products!$A$1:$A$49,0), MATCH(orders!L$1,  products!$A$1:$G$1,0))</f>
        <v>3.5849999999999995</v>
      </c>
      <c r="M911" s="7">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 MATCH(orders!I$1,  products!$A$1:$G$1,0))</f>
        <v>Ara</v>
      </c>
      <c r="J912" t="str">
        <f>INDEX(products!$A$1:$G$49,MATCH(orders!$D912,products!$A$1:$A$49,0), MATCH(orders!J$1,  products!$A$1:$G$1,0))</f>
        <v>D</v>
      </c>
      <c r="K912" s="4">
        <f>INDEX(products!$A$1:$G$49,MATCH(orders!$D912,products!$A$1:$A$49,0), MATCH(orders!K$1,  products!$A$1:$G$1,0))</f>
        <v>2.5</v>
      </c>
      <c r="L912" s="7">
        <f>INDEX(products!$A$1:$G$49,MATCH(orders!$D912,products!$A$1:$A$49,0), MATCH(orders!L$1,  products!$A$1:$G$1,0))</f>
        <v>22.884999999999998</v>
      </c>
      <c r="M912" s="7">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 MATCH(orders!I$1,  products!$A$1:$G$1,0))</f>
        <v>Ara</v>
      </c>
      <c r="J913" t="str">
        <f>INDEX(products!$A$1:$G$49,MATCH(orders!$D913,products!$A$1:$A$49,0), MATCH(orders!J$1,  products!$A$1:$G$1,0))</f>
        <v>M</v>
      </c>
      <c r="K913" s="4">
        <f>INDEX(products!$A$1:$G$49,MATCH(orders!$D913,products!$A$1:$A$49,0), MATCH(orders!K$1,  products!$A$1:$G$1,0))</f>
        <v>1</v>
      </c>
      <c r="L913" s="7">
        <f>INDEX(products!$A$1:$G$49,MATCH(orders!$D913,products!$A$1:$A$49,0), MATCH(orders!L$1,  products!$A$1:$G$1,0))</f>
        <v>11.25</v>
      </c>
      <c r="M913" s="7">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 MATCH(orders!I$1,  products!$A$1:$G$1,0))</f>
        <v>Rob</v>
      </c>
      <c r="J914" t="str">
        <f>INDEX(products!$A$1:$G$49,MATCH(orders!$D914,products!$A$1:$A$49,0), MATCH(orders!J$1,  products!$A$1:$G$1,0))</f>
        <v>M</v>
      </c>
      <c r="K914" s="4">
        <f>INDEX(products!$A$1:$G$49,MATCH(orders!$D914,products!$A$1:$A$49,0), MATCH(orders!K$1,  products!$A$1:$G$1,0))</f>
        <v>2.5</v>
      </c>
      <c r="L914" s="7">
        <f>INDEX(products!$A$1:$G$49,MATCH(orders!$D914,products!$A$1:$A$49,0), MATCH(orders!L$1,  products!$A$1:$G$1,0))</f>
        <v>22.884999999999998</v>
      </c>
      <c r="M914" s="7">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 MATCH(orders!I$1,  products!$A$1:$G$1,0))</f>
        <v>Ara</v>
      </c>
      <c r="J915" t="str">
        <f>INDEX(products!$A$1:$G$49,MATCH(orders!$D915,products!$A$1:$A$49,0), MATCH(orders!J$1,  products!$A$1:$G$1,0))</f>
        <v>M</v>
      </c>
      <c r="K915" s="4">
        <f>INDEX(products!$A$1:$G$49,MATCH(orders!$D915,products!$A$1:$A$49,0), MATCH(orders!K$1,  products!$A$1:$G$1,0))</f>
        <v>0.5</v>
      </c>
      <c r="L915" s="7">
        <f>INDEX(products!$A$1:$G$49,MATCH(orders!$D915,products!$A$1:$A$49,0), MATCH(orders!L$1,  products!$A$1:$G$1,0))</f>
        <v>6.75</v>
      </c>
      <c r="M915" s="7">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 MATCH(orders!I$1,  products!$A$1:$G$1,0))</f>
        <v>Ara</v>
      </c>
      <c r="J916" t="str">
        <f>INDEX(products!$A$1:$G$49,MATCH(orders!$D916,products!$A$1:$A$49,0), MATCH(orders!J$1,  products!$A$1:$G$1,0))</f>
        <v>M</v>
      </c>
      <c r="K916" s="4">
        <f>INDEX(products!$A$1:$G$49,MATCH(orders!$D916,products!$A$1:$A$49,0), MATCH(orders!K$1,  products!$A$1:$G$1,0))</f>
        <v>1</v>
      </c>
      <c r="L916" s="7">
        <f>INDEX(products!$A$1:$G$49,MATCH(orders!$D916,products!$A$1:$A$49,0), MATCH(orders!L$1,  products!$A$1:$G$1,0))</f>
        <v>11.25</v>
      </c>
      <c r="M916" s="7">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 MATCH(orders!I$1,  products!$A$1:$G$1,0))</f>
        <v>Exc</v>
      </c>
      <c r="J917" t="str">
        <f>INDEX(products!$A$1:$G$49,MATCH(orders!$D917,products!$A$1:$A$49,0), MATCH(orders!J$1,  products!$A$1:$G$1,0))</f>
        <v>D</v>
      </c>
      <c r="K917" s="4">
        <f>INDEX(products!$A$1:$G$49,MATCH(orders!$D917,products!$A$1:$A$49,0), MATCH(orders!K$1,  products!$A$1:$G$1,0))</f>
        <v>2.5</v>
      </c>
      <c r="L917" s="7">
        <f>INDEX(products!$A$1:$G$49,MATCH(orders!$D917,products!$A$1:$A$49,0), MATCH(orders!L$1,  products!$A$1:$G$1,0))</f>
        <v>27.945</v>
      </c>
      <c r="M917" s="7">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 MATCH(orders!I$1,  products!$A$1:$G$1,0))</f>
        <v>Exc</v>
      </c>
      <c r="J918" t="str">
        <f>INDEX(products!$A$1:$G$49,MATCH(orders!$D918,products!$A$1:$A$49,0), MATCH(orders!J$1,  products!$A$1:$G$1,0))</f>
        <v>D</v>
      </c>
      <c r="K918" s="4">
        <f>INDEX(products!$A$1:$G$49,MATCH(orders!$D918,products!$A$1:$A$49,0), MATCH(orders!K$1,  products!$A$1:$G$1,0))</f>
        <v>0.2</v>
      </c>
      <c r="L918" s="7">
        <f>INDEX(products!$A$1:$G$49,MATCH(orders!$D918,products!$A$1:$A$49,0), MATCH(orders!L$1,  products!$A$1:$G$1,0))</f>
        <v>3.645</v>
      </c>
      <c r="M918" s="7">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 MATCH(orders!I$1,  products!$A$1:$G$1,0))</f>
        <v>Ara</v>
      </c>
      <c r="J919" t="str">
        <f>INDEX(products!$A$1:$G$49,MATCH(orders!$D919,products!$A$1:$A$49,0), MATCH(orders!J$1,  products!$A$1:$G$1,0))</f>
        <v>M</v>
      </c>
      <c r="K919" s="4">
        <f>INDEX(products!$A$1:$G$49,MATCH(orders!$D919,products!$A$1:$A$49,0), MATCH(orders!K$1,  products!$A$1:$G$1,0))</f>
        <v>0.5</v>
      </c>
      <c r="L919" s="7">
        <f>INDEX(products!$A$1:$G$49,MATCH(orders!$D919,products!$A$1:$A$49,0), MATCH(orders!L$1,  products!$A$1:$G$1,0))</f>
        <v>6.75</v>
      </c>
      <c r="M919" s="7">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 MATCH(orders!I$1,  products!$A$1:$G$1,0))</f>
        <v>Exc</v>
      </c>
      <c r="J920" t="str">
        <f>INDEX(products!$A$1:$G$49,MATCH(orders!$D920,products!$A$1:$A$49,0), MATCH(orders!J$1,  products!$A$1:$G$1,0))</f>
        <v>D</v>
      </c>
      <c r="K920" s="4">
        <f>INDEX(products!$A$1:$G$49,MATCH(orders!$D920,products!$A$1:$A$49,0), MATCH(orders!K$1,  products!$A$1:$G$1,0))</f>
        <v>0.5</v>
      </c>
      <c r="L920" s="7">
        <f>INDEX(products!$A$1:$G$49,MATCH(orders!$D920,products!$A$1:$A$49,0), MATCH(orders!L$1,  products!$A$1:$G$1,0))</f>
        <v>7.29</v>
      </c>
      <c r="M920" s="7">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 MATCH(orders!I$1,  products!$A$1:$G$1,0))</f>
        <v>Rob</v>
      </c>
      <c r="J921" t="str">
        <f>INDEX(products!$A$1:$G$49,MATCH(orders!$D921,products!$A$1:$A$49,0), MATCH(orders!J$1,  products!$A$1:$G$1,0))</f>
        <v>D</v>
      </c>
      <c r="K921" s="4">
        <f>INDEX(products!$A$1:$G$49,MATCH(orders!$D921,products!$A$1:$A$49,0), MATCH(orders!K$1,  products!$A$1:$G$1,0))</f>
        <v>0.2</v>
      </c>
      <c r="L921" s="7">
        <f>INDEX(products!$A$1:$G$49,MATCH(orders!$D921,products!$A$1:$A$49,0), MATCH(orders!L$1,  products!$A$1:$G$1,0))</f>
        <v>2.6849999999999996</v>
      </c>
      <c r="M921" s="7">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 MATCH(orders!I$1,  products!$A$1:$G$1,0))</f>
        <v>Rob</v>
      </c>
      <c r="J922" t="str">
        <f>INDEX(products!$A$1:$G$49,MATCH(orders!$D922,products!$A$1:$A$49,0), MATCH(orders!J$1,  products!$A$1:$G$1,0))</f>
        <v>D</v>
      </c>
      <c r="K922" s="4">
        <f>INDEX(products!$A$1:$G$49,MATCH(orders!$D922,products!$A$1:$A$49,0), MATCH(orders!K$1,  products!$A$1:$G$1,0))</f>
        <v>2.5</v>
      </c>
      <c r="L922" s="7">
        <f>INDEX(products!$A$1:$G$49,MATCH(orders!$D922,products!$A$1:$A$49,0), MATCH(orders!L$1,  products!$A$1:$G$1,0))</f>
        <v>20.584999999999997</v>
      </c>
      <c r="M922" s="7">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 MATCH(orders!I$1,  products!$A$1:$G$1,0))</f>
        <v>Lib</v>
      </c>
      <c r="J923" t="str">
        <f>INDEX(products!$A$1:$G$49,MATCH(orders!$D923,products!$A$1:$A$49,0), MATCH(orders!J$1,  products!$A$1:$G$1,0))</f>
        <v>D</v>
      </c>
      <c r="K923" s="4">
        <f>INDEX(products!$A$1:$G$49,MATCH(orders!$D923,products!$A$1:$A$49,0), MATCH(orders!K$1,  products!$A$1:$G$1,0))</f>
        <v>0.2</v>
      </c>
      <c r="L923" s="7">
        <f>INDEX(products!$A$1:$G$49,MATCH(orders!$D923,products!$A$1:$A$49,0), MATCH(orders!L$1,  products!$A$1:$G$1,0))</f>
        <v>3.8849999999999998</v>
      </c>
      <c r="M923" s="7">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 MATCH(orders!I$1,  products!$A$1:$G$1,0))</f>
        <v>Ara</v>
      </c>
      <c r="J924" t="str">
        <f>INDEX(products!$A$1:$G$49,MATCH(orders!$D924,products!$A$1:$A$49,0), MATCH(orders!J$1,  products!$A$1:$G$1,0))</f>
        <v>M</v>
      </c>
      <c r="K924" s="4">
        <f>INDEX(products!$A$1:$G$49,MATCH(orders!$D924,products!$A$1:$A$49,0), MATCH(orders!K$1,  products!$A$1:$G$1,0))</f>
        <v>1</v>
      </c>
      <c r="L924" s="7">
        <f>INDEX(products!$A$1:$G$49,MATCH(orders!$D924,products!$A$1:$A$49,0), MATCH(orders!L$1,  products!$A$1:$G$1,0))</f>
        <v>11.25</v>
      </c>
      <c r="M924" s="7">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 MATCH(orders!I$1,  products!$A$1:$G$1,0))</f>
        <v>Exc</v>
      </c>
      <c r="J925" t="str">
        <f>INDEX(products!$A$1:$G$49,MATCH(orders!$D925,products!$A$1:$A$49,0), MATCH(orders!J$1,  products!$A$1:$G$1,0))</f>
        <v>D</v>
      </c>
      <c r="K925" s="4">
        <f>INDEX(products!$A$1:$G$49,MATCH(orders!$D925,products!$A$1:$A$49,0), MATCH(orders!K$1,  products!$A$1:$G$1,0))</f>
        <v>2.5</v>
      </c>
      <c r="L925" s="7">
        <f>INDEX(products!$A$1:$G$49,MATCH(orders!$D925,products!$A$1:$A$49,0), MATCH(orders!L$1,  products!$A$1:$G$1,0))</f>
        <v>27.945</v>
      </c>
      <c r="M925" s="7">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 MATCH(orders!I$1,  products!$A$1:$G$1,0))</f>
        <v>Ara</v>
      </c>
      <c r="J926" t="str">
        <f>INDEX(products!$A$1:$G$49,MATCH(orders!$D926,products!$A$1:$A$49,0), MATCH(orders!J$1,  products!$A$1:$G$1,0))</f>
        <v>L</v>
      </c>
      <c r="K926" s="4">
        <f>INDEX(products!$A$1:$G$49,MATCH(orders!$D926,products!$A$1:$A$49,0), MATCH(orders!K$1,  products!$A$1:$G$1,0))</f>
        <v>2.5</v>
      </c>
      <c r="L926" s="7">
        <f>INDEX(products!$A$1:$G$49,MATCH(orders!$D926,products!$A$1:$A$49,0), MATCH(orders!L$1,  products!$A$1:$G$1,0))</f>
        <v>29.784999999999997</v>
      </c>
      <c r="M926" s="7">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 MATCH(orders!I$1,  products!$A$1:$G$1,0))</f>
        <v>Ara</v>
      </c>
      <c r="J927" t="str">
        <f>INDEX(products!$A$1:$G$49,MATCH(orders!$D927,products!$A$1:$A$49,0), MATCH(orders!J$1,  products!$A$1:$G$1,0))</f>
        <v>M</v>
      </c>
      <c r="K927" s="4">
        <f>INDEX(products!$A$1:$G$49,MATCH(orders!$D927,products!$A$1:$A$49,0), MATCH(orders!K$1,  products!$A$1:$G$1,0))</f>
        <v>0.5</v>
      </c>
      <c r="L927" s="7">
        <f>INDEX(products!$A$1:$G$49,MATCH(orders!$D927,products!$A$1:$A$49,0), MATCH(orders!L$1,  products!$A$1:$G$1,0))</f>
        <v>6.75</v>
      </c>
      <c r="M927" s="7">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 MATCH(orders!I$1,  products!$A$1:$G$1,0))</f>
        <v>Ara</v>
      </c>
      <c r="J928" t="str">
        <f>INDEX(products!$A$1:$G$49,MATCH(orders!$D928,products!$A$1:$A$49,0), MATCH(orders!J$1,  products!$A$1:$G$1,0))</f>
        <v>M</v>
      </c>
      <c r="K928" s="4">
        <f>INDEX(products!$A$1:$G$49,MATCH(orders!$D928,products!$A$1:$A$49,0), MATCH(orders!K$1,  products!$A$1:$G$1,0))</f>
        <v>0.5</v>
      </c>
      <c r="L928" s="7">
        <f>INDEX(products!$A$1:$G$49,MATCH(orders!$D928,products!$A$1:$A$49,0), MATCH(orders!L$1,  products!$A$1:$G$1,0))</f>
        <v>6.75</v>
      </c>
      <c r="M928" s="7">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 MATCH(orders!I$1,  products!$A$1:$G$1,0))</f>
        <v>Exc</v>
      </c>
      <c r="J929" t="str">
        <f>INDEX(products!$A$1:$G$49,MATCH(orders!$D929,products!$A$1:$A$49,0), MATCH(orders!J$1,  products!$A$1:$G$1,0))</f>
        <v>D</v>
      </c>
      <c r="K929" s="4">
        <f>INDEX(products!$A$1:$G$49,MATCH(orders!$D929,products!$A$1:$A$49,0), MATCH(orders!K$1,  products!$A$1:$G$1,0))</f>
        <v>2.5</v>
      </c>
      <c r="L929" s="7">
        <f>INDEX(products!$A$1:$G$49,MATCH(orders!$D929,products!$A$1:$A$49,0), MATCH(orders!L$1,  products!$A$1:$G$1,0))</f>
        <v>27.945</v>
      </c>
      <c r="M929" s="7">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 MATCH(orders!I$1,  products!$A$1:$G$1,0))</f>
        <v>Exc</v>
      </c>
      <c r="J930" t="str">
        <f>INDEX(products!$A$1:$G$49,MATCH(orders!$D930,products!$A$1:$A$49,0), MATCH(orders!J$1,  products!$A$1:$G$1,0))</f>
        <v>M</v>
      </c>
      <c r="K930" s="4">
        <f>INDEX(products!$A$1:$G$49,MATCH(orders!$D930,products!$A$1:$A$49,0), MATCH(orders!K$1,  products!$A$1:$G$1,0))</f>
        <v>2.5</v>
      </c>
      <c r="L930" s="7">
        <f>INDEX(products!$A$1:$G$49,MATCH(orders!$D930,products!$A$1:$A$49,0), MATCH(orders!L$1,  products!$A$1:$G$1,0))</f>
        <v>31.624999999999996</v>
      </c>
      <c r="M930" s="7">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 MATCH(orders!I$1,  products!$A$1:$G$1,0))</f>
        <v>Exc</v>
      </c>
      <c r="J931" t="str">
        <f>INDEX(products!$A$1:$G$49,MATCH(orders!$D931,products!$A$1:$A$49,0), MATCH(orders!J$1,  products!$A$1:$G$1,0))</f>
        <v>L</v>
      </c>
      <c r="K931" s="4">
        <f>INDEX(products!$A$1:$G$49,MATCH(orders!$D931,products!$A$1:$A$49,0), MATCH(orders!K$1,  products!$A$1:$G$1,0))</f>
        <v>0.2</v>
      </c>
      <c r="L931" s="7">
        <f>INDEX(products!$A$1:$G$49,MATCH(orders!$D931,products!$A$1:$A$49,0), MATCH(orders!L$1,  products!$A$1:$G$1,0))</f>
        <v>4.4550000000000001</v>
      </c>
      <c r="M931" s="7">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 MATCH(orders!I$1,  products!$A$1:$G$1,0))</f>
        <v>Exc</v>
      </c>
      <c r="J932" t="str">
        <f>INDEX(products!$A$1:$G$49,MATCH(orders!$D932,products!$A$1:$A$49,0), MATCH(orders!J$1,  products!$A$1:$G$1,0))</f>
        <v>D</v>
      </c>
      <c r="K932" s="4">
        <f>INDEX(products!$A$1:$G$49,MATCH(orders!$D932,products!$A$1:$A$49,0), MATCH(orders!K$1,  products!$A$1:$G$1,0))</f>
        <v>1</v>
      </c>
      <c r="L932" s="7">
        <f>INDEX(products!$A$1:$G$49,MATCH(orders!$D932,products!$A$1:$A$49,0), MATCH(orders!L$1,  products!$A$1:$G$1,0))</f>
        <v>12.15</v>
      </c>
      <c r="M932" s="7">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 MATCH(orders!I$1,  products!$A$1:$G$1,0))</f>
        <v>Ara</v>
      </c>
      <c r="J933" t="str">
        <f>INDEX(products!$A$1:$G$49,MATCH(orders!$D933,products!$A$1:$A$49,0), MATCH(orders!J$1,  products!$A$1:$G$1,0))</f>
        <v>D</v>
      </c>
      <c r="K933" s="4">
        <f>INDEX(products!$A$1:$G$49,MATCH(orders!$D933,products!$A$1:$A$49,0), MATCH(orders!K$1,  products!$A$1:$G$1,0))</f>
        <v>0.5</v>
      </c>
      <c r="L933" s="7">
        <f>INDEX(products!$A$1:$G$49,MATCH(orders!$D933,products!$A$1:$A$49,0), MATCH(orders!L$1,  products!$A$1:$G$1,0))</f>
        <v>5.97</v>
      </c>
      <c r="M933" s="7">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 MATCH(orders!I$1,  products!$A$1:$G$1,0))</f>
        <v>Exc</v>
      </c>
      <c r="J934" t="str">
        <f>INDEX(products!$A$1:$G$49,MATCH(orders!$D934,products!$A$1:$A$49,0), MATCH(orders!J$1,  products!$A$1:$G$1,0))</f>
        <v>M</v>
      </c>
      <c r="K934" s="4">
        <f>INDEX(products!$A$1:$G$49,MATCH(orders!$D934,products!$A$1:$A$49,0), MATCH(orders!K$1,  products!$A$1:$G$1,0))</f>
        <v>1</v>
      </c>
      <c r="L934" s="7">
        <f>INDEX(products!$A$1:$G$49,MATCH(orders!$D934,products!$A$1:$A$49,0), MATCH(orders!L$1,  products!$A$1:$G$1,0))</f>
        <v>13.75</v>
      </c>
      <c r="M934" s="7">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 MATCH(orders!I$1,  products!$A$1:$G$1,0))</f>
        <v>Rob</v>
      </c>
      <c r="J935" t="str">
        <f>INDEX(products!$A$1:$G$49,MATCH(orders!$D935,products!$A$1:$A$49,0), MATCH(orders!J$1,  products!$A$1:$G$1,0))</f>
        <v>D</v>
      </c>
      <c r="K935" s="4">
        <f>INDEX(products!$A$1:$G$49,MATCH(orders!$D935,products!$A$1:$A$49,0), MATCH(orders!K$1,  products!$A$1:$G$1,0))</f>
        <v>1</v>
      </c>
      <c r="L935" s="7">
        <f>INDEX(products!$A$1:$G$49,MATCH(orders!$D935,products!$A$1:$A$49,0), MATCH(orders!L$1,  products!$A$1:$G$1,0))</f>
        <v>8.9499999999999993</v>
      </c>
      <c r="M935" s="7">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 MATCH(orders!I$1,  products!$A$1:$G$1,0))</f>
        <v>Rob</v>
      </c>
      <c r="J936" t="str">
        <f>INDEX(products!$A$1:$G$49,MATCH(orders!$D936,products!$A$1:$A$49,0), MATCH(orders!J$1,  products!$A$1:$G$1,0))</f>
        <v>M</v>
      </c>
      <c r="K936" s="4">
        <f>INDEX(products!$A$1:$G$49,MATCH(orders!$D936,products!$A$1:$A$49,0), MATCH(orders!K$1,  products!$A$1:$G$1,0))</f>
        <v>2.5</v>
      </c>
      <c r="L936" s="7">
        <f>INDEX(products!$A$1:$G$49,MATCH(orders!$D936,products!$A$1:$A$49,0), MATCH(orders!L$1,  products!$A$1:$G$1,0))</f>
        <v>22.884999999999998</v>
      </c>
      <c r="M936" s="7">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 MATCH(orders!I$1,  products!$A$1:$G$1,0))</f>
        <v>Ara</v>
      </c>
      <c r="J937" t="str">
        <f>INDEX(products!$A$1:$G$49,MATCH(orders!$D937,products!$A$1:$A$49,0), MATCH(orders!J$1,  products!$A$1:$G$1,0))</f>
        <v>M</v>
      </c>
      <c r="K937" s="4">
        <f>INDEX(products!$A$1:$G$49,MATCH(orders!$D937,products!$A$1:$A$49,0), MATCH(orders!K$1,  products!$A$1:$G$1,0))</f>
        <v>2.5</v>
      </c>
      <c r="L937" s="7">
        <f>INDEX(products!$A$1:$G$49,MATCH(orders!$D937,products!$A$1:$A$49,0), MATCH(orders!L$1,  products!$A$1:$G$1,0))</f>
        <v>25.874999999999996</v>
      </c>
      <c r="M937" s="7">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 MATCH(orders!I$1,  products!$A$1:$G$1,0))</f>
        <v>Lib</v>
      </c>
      <c r="J938" t="str">
        <f>INDEX(products!$A$1:$G$49,MATCH(orders!$D938,products!$A$1:$A$49,0), MATCH(orders!J$1,  products!$A$1:$G$1,0))</f>
        <v>D</v>
      </c>
      <c r="K938" s="4">
        <f>INDEX(products!$A$1:$G$49,MATCH(orders!$D938,products!$A$1:$A$49,0), MATCH(orders!K$1,  products!$A$1:$G$1,0))</f>
        <v>0.5</v>
      </c>
      <c r="L938" s="7">
        <f>INDEX(products!$A$1:$G$49,MATCH(orders!$D938,products!$A$1:$A$49,0), MATCH(orders!L$1,  products!$A$1:$G$1,0))</f>
        <v>7.77</v>
      </c>
      <c r="M938" s="7">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 MATCH(orders!I$1,  products!$A$1:$G$1,0))</f>
        <v>Rob</v>
      </c>
      <c r="J939" t="str">
        <f>INDEX(products!$A$1:$G$49,MATCH(orders!$D939,products!$A$1:$A$49,0), MATCH(orders!J$1,  products!$A$1:$G$1,0))</f>
        <v>M</v>
      </c>
      <c r="K939" s="4">
        <f>INDEX(products!$A$1:$G$49,MATCH(orders!$D939,products!$A$1:$A$49,0), MATCH(orders!K$1,  products!$A$1:$G$1,0))</f>
        <v>2.5</v>
      </c>
      <c r="L939" s="7">
        <f>INDEX(products!$A$1:$G$49,MATCH(orders!$D939,products!$A$1:$A$49,0), MATCH(orders!L$1,  products!$A$1:$G$1,0))</f>
        <v>22.884999999999998</v>
      </c>
      <c r="M939" s="7">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 MATCH(orders!I$1,  products!$A$1:$G$1,0))</f>
        <v>Exc</v>
      </c>
      <c r="J940" t="str">
        <f>INDEX(products!$A$1:$G$49,MATCH(orders!$D940,products!$A$1:$A$49,0), MATCH(orders!J$1,  products!$A$1:$G$1,0))</f>
        <v>L</v>
      </c>
      <c r="K940" s="4">
        <f>INDEX(products!$A$1:$G$49,MATCH(orders!$D940,products!$A$1:$A$49,0), MATCH(orders!K$1,  products!$A$1:$G$1,0))</f>
        <v>1</v>
      </c>
      <c r="L940" s="7">
        <f>INDEX(products!$A$1:$G$49,MATCH(orders!$D940,products!$A$1:$A$49,0), MATCH(orders!L$1,  products!$A$1:$G$1,0))</f>
        <v>14.85</v>
      </c>
      <c r="M940" s="7">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 MATCH(orders!I$1,  products!$A$1:$G$1,0))</f>
        <v>Lib</v>
      </c>
      <c r="J941" t="str">
        <f>INDEX(products!$A$1:$G$49,MATCH(orders!$D941,products!$A$1:$A$49,0), MATCH(orders!J$1,  products!$A$1:$G$1,0))</f>
        <v>L</v>
      </c>
      <c r="K941" s="4">
        <f>INDEX(products!$A$1:$G$49,MATCH(orders!$D941,products!$A$1:$A$49,0), MATCH(orders!K$1,  products!$A$1:$G$1,0))</f>
        <v>0.2</v>
      </c>
      <c r="L941" s="7">
        <f>INDEX(products!$A$1:$G$49,MATCH(orders!$D941,products!$A$1:$A$49,0), MATCH(orders!L$1,  products!$A$1:$G$1,0))</f>
        <v>4.7549999999999999</v>
      </c>
      <c r="M941" s="7">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 MATCH(orders!I$1,  products!$A$1:$G$1,0))</f>
        <v>Rob</v>
      </c>
      <c r="J942" t="str">
        <f>INDEX(products!$A$1:$G$49,MATCH(orders!$D942,products!$A$1:$A$49,0), MATCH(orders!J$1,  products!$A$1:$G$1,0))</f>
        <v>L</v>
      </c>
      <c r="K942" s="4">
        <f>INDEX(products!$A$1:$G$49,MATCH(orders!$D942,products!$A$1:$A$49,0), MATCH(orders!K$1,  products!$A$1:$G$1,0))</f>
        <v>0.5</v>
      </c>
      <c r="L942" s="7">
        <f>INDEX(products!$A$1:$G$49,MATCH(orders!$D942,products!$A$1:$A$49,0), MATCH(orders!L$1,  products!$A$1:$G$1,0))</f>
        <v>7.169999999999999</v>
      </c>
      <c r="M942" s="7">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 MATCH(orders!I$1,  products!$A$1:$G$1,0))</f>
        <v>Ara</v>
      </c>
      <c r="J943" t="str">
        <f>INDEX(products!$A$1:$G$49,MATCH(orders!$D943,products!$A$1:$A$49,0), MATCH(orders!J$1,  products!$A$1:$G$1,0))</f>
        <v>L</v>
      </c>
      <c r="K943" s="4">
        <f>INDEX(products!$A$1:$G$49,MATCH(orders!$D943,products!$A$1:$A$49,0), MATCH(orders!K$1,  products!$A$1:$G$1,0))</f>
        <v>0.5</v>
      </c>
      <c r="L943" s="7">
        <f>INDEX(products!$A$1:$G$49,MATCH(orders!$D943,products!$A$1:$A$49,0), MATCH(orders!L$1,  products!$A$1:$G$1,0))</f>
        <v>7.77</v>
      </c>
      <c r="M943" s="7">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 MATCH(orders!I$1,  products!$A$1:$G$1,0))</f>
        <v>Rob</v>
      </c>
      <c r="J944" t="str">
        <f>INDEX(products!$A$1:$G$49,MATCH(orders!$D944,products!$A$1:$A$49,0), MATCH(orders!J$1,  products!$A$1:$G$1,0))</f>
        <v>L</v>
      </c>
      <c r="K944" s="4">
        <f>INDEX(products!$A$1:$G$49,MATCH(orders!$D944,products!$A$1:$A$49,0), MATCH(orders!K$1,  products!$A$1:$G$1,0))</f>
        <v>1</v>
      </c>
      <c r="L944" s="7">
        <f>INDEX(products!$A$1:$G$49,MATCH(orders!$D944,products!$A$1:$A$49,0), MATCH(orders!L$1,  products!$A$1:$G$1,0))</f>
        <v>11.95</v>
      </c>
      <c r="M944" s="7">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 MATCH(orders!I$1,  products!$A$1:$G$1,0))</f>
        <v>Ara</v>
      </c>
      <c r="J945" t="str">
        <f>INDEX(products!$A$1:$G$49,MATCH(orders!$D945,products!$A$1:$A$49,0), MATCH(orders!J$1,  products!$A$1:$G$1,0))</f>
        <v>L</v>
      </c>
      <c r="K945" s="4">
        <f>INDEX(products!$A$1:$G$49,MATCH(orders!$D945,products!$A$1:$A$49,0), MATCH(orders!K$1,  products!$A$1:$G$1,0))</f>
        <v>0.5</v>
      </c>
      <c r="L945" s="7">
        <f>INDEX(products!$A$1:$G$49,MATCH(orders!$D945,products!$A$1:$A$49,0), MATCH(orders!L$1,  products!$A$1:$G$1,0))</f>
        <v>7.77</v>
      </c>
      <c r="M945" s="7">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 MATCH(orders!I$1,  products!$A$1:$G$1,0))</f>
        <v>Rob</v>
      </c>
      <c r="J946" t="str">
        <f>INDEX(products!$A$1:$G$49,MATCH(orders!$D946,products!$A$1:$A$49,0), MATCH(orders!J$1,  products!$A$1:$G$1,0))</f>
        <v>L</v>
      </c>
      <c r="K946" s="4">
        <f>INDEX(products!$A$1:$G$49,MATCH(orders!$D946,products!$A$1:$A$49,0), MATCH(orders!K$1,  products!$A$1:$G$1,0))</f>
        <v>0.5</v>
      </c>
      <c r="L946" s="7">
        <f>INDEX(products!$A$1:$G$49,MATCH(orders!$D946,products!$A$1:$A$49,0), MATCH(orders!L$1,  products!$A$1:$G$1,0))</f>
        <v>7.169999999999999</v>
      </c>
      <c r="M946" s="7">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 MATCH(orders!I$1,  products!$A$1:$G$1,0))</f>
        <v>Lib</v>
      </c>
      <c r="J947" t="str">
        <f>INDEX(products!$A$1:$G$49,MATCH(orders!$D947,products!$A$1:$A$49,0), MATCH(orders!J$1,  products!$A$1:$G$1,0))</f>
        <v>D</v>
      </c>
      <c r="K947" s="4">
        <f>INDEX(products!$A$1:$G$49,MATCH(orders!$D947,products!$A$1:$A$49,0), MATCH(orders!K$1,  products!$A$1:$G$1,0))</f>
        <v>2.5</v>
      </c>
      <c r="L947" s="7">
        <f>INDEX(products!$A$1:$G$49,MATCH(orders!$D947,products!$A$1:$A$49,0), MATCH(orders!L$1,  products!$A$1:$G$1,0))</f>
        <v>29.784999999999997</v>
      </c>
      <c r="M947" s="7">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 MATCH(orders!I$1,  products!$A$1:$G$1,0))</f>
        <v>Lib</v>
      </c>
      <c r="J948" t="str">
        <f>INDEX(products!$A$1:$G$49,MATCH(orders!$D948,products!$A$1:$A$49,0), MATCH(orders!J$1,  products!$A$1:$G$1,0))</f>
        <v>D</v>
      </c>
      <c r="K948" s="4">
        <f>INDEX(products!$A$1:$G$49,MATCH(orders!$D948,products!$A$1:$A$49,0), MATCH(orders!K$1,  products!$A$1:$G$1,0))</f>
        <v>0.5</v>
      </c>
      <c r="L948" s="7">
        <f>INDEX(products!$A$1:$G$49,MATCH(orders!$D948,products!$A$1:$A$49,0), MATCH(orders!L$1,  products!$A$1:$G$1,0))</f>
        <v>7.77</v>
      </c>
      <c r="M948" s="7">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 MATCH(orders!I$1,  products!$A$1:$G$1,0))</f>
        <v>Ara</v>
      </c>
      <c r="J949" t="str">
        <f>INDEX(products!$A$1:$G$49,MATCH(orders!$D949,products!$A$1:$A$49,0), MATCH(orders!J$1,  products!$A$1:$G$1,0))</f>
        <v>M</v>
      </c>
      <c r="K949" s="4">
        <f>INDEX(products!$A$1:$G$49,MATCH(orders!$D949,products!$A$1:$A$49,0), MATCH(orders!K$1,  products!$A$1:$G$1,0))</f>
        <v>1</v>
      </c>
      <c r="L949" s="7">
        <f>INDEX(products!$A$1:$G$49,MATCH(orders!$D949,products!$A$1:$A$49,0), MATCH(orders!L$1,  products!$A$1:$G$1,0))</f>
        <v>11.25</v>
      </c>
      <c r="M949" s="7">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 MATCH(orders!I$1,  products!$A$1:$G$1,0))</f>
        <v>Exc</v>
      </c>
      <c r="J950" t="str">
        <f>INDEX(products!$A$1:$G$49,MATCH(orders!$D950,products!$A$1:$A$49,0), MATCH(orders!J$1,  products!$A$1:$G$1,0))</f>
        <v>D</v>
      </c>
      <c r="K950" s="4">
        <f>INDEX(products!$A$1:$G$49,MATCH(orders!$D950,products!$A$1:$A$49,0), MATCH(orders!K$1,  products!$A$1:$G$1,0))</f>
        <v>2.5</v>
      </c>
      <c r="L950" s="7">
        <f>INDEX(products!$A$1:$G$49,MATCH(orders!$D950,products!$A$1:$A$49,0), MATCH(orders!L$1,  products!$A$1:$G$1,0))</f>
        <v>27.945</v>
      </c>
      <c r="M950" s="7">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 MATCH(orders!I$1,  products!$A$1:$G$1,0))</f>
        <v>Rob</v>
      </c>
      <c r="J951" t="str">
        <f>INDEX(products!$A$1:$G$49,MATCH(orders!$D951,products!$A$1:$A$49,0), MATCH(orders!J$1,  products!$A$1:$G$1,0))</f>
        <v>L</v>
      </c>
      <c r="K951" s="4">
        <f>INDEX(products!$A$1:$G$49,MATCH(orders!$D951,products!$A$1:$A$49,0), MATCH(orders!K$1,  products!$A$1:$G$1,0))</f>
        <v>2.5</v>
      </c>
      <c r="L951" s="7">
        <f>INDEX(products!$A$1:$G$49,MATCH(orders!$D951,products!$A$1:$A$49,0), MATCH(orders!L$1,  products!$A$1:$G$1,0))</f>
        <v>27.484999999999996</v>
      </c>
      <c r="M951" s="7">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 MATCH(orders!I$1,  products!$A$1:$G$1,0))</f>
        <v>Rob</v>
      </c>
      <c r="J952" t="str">
        <f>INDEX(products!$A$1:$G$49,MATCH(orders!$D952,products!$A$1:$A$49,0), MATCH(orders!J$1,  products!$A$1:$G$1,0))</f>
        <v>L</v>
      </c>
      <c r="K952" s="4">
        <f>INDEX(products!$A$1:$G$49,MATCH(orders!$D952,products!$A$1:$A$49,0), MATCH(orders!K$1,  products!$A$1:$G$1,0))</f>
        <v>0.2</v>
      </c>
      <c r="L952" s="7">
        <f>INDEX(products!$A$1:$G$49,MATCH(orders!$D952,products!$A$1:$A$49,0), MATCH(orders!L$1,  products!$A$1:$G$1,0))</f>
        <v>3.5849999999999995</v>
      </c>
      <c r="M952" s="7">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 MATCH(orders!I$1,  products!$A$1:$G$1,0))</f>
        <v>Rob</v>
      </c>
      <c r="J953" t="str">
        <f>INDEX(products!$A$1:$G$49,MATCH(orders!$D953,products!$A$1:$A$49,0), MATCH(orders!J$1,  products!$A$1:$G$1,0))</f>
        <v>L</v>
      </c>
      <c r="K953" s="4">
        <f>INDEX(products!$A$1:$G$49,MATCH(orders!$D953,products!$A$1:$A$49,0), MATCH(orders!K$1,  products!$A$1:$G$1,0))</f>
        <v>0.2</v>
      </c>
      <c r="L953" s="7">
        <f>INDEX(products!$A$1:$G$49,MATCH(orders!$D953,products!$A$1:$A$49,0), MATCH(orders!L$1,  products!$A$1:$G$1,0))</f>
        <v>3.5849999999999995</v>
      </c>
      <c r="M953" s="7">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 MATCH(orders!I$1,  products!$A$1:$G$1,0))</f>
        <v>Ara</v>
      </c>
      <c r="J954" t="str">
        <f>INDEX(products!$A$1:$G$49,MATCH(orders!$D954,products!$A$1:$A$49,0), MATCH(orders!J$1,  products!$A$1:$G$1,0))</f>
        <v>M</v>
      </c>
      <c r="K954" s="4">
        <f>INDEX(products!$A$1:$G$49,MATCH(orders!$D954,products!$A$1:$A$49,0), MATCH(orders!K$1,  products!$A$1:$G$1,0))</f>
        <v>1</v>
      </c>
      <c r="L954" s="7">
        <f>INDEX(products!$A$1:$G$49,MATCH(orders!$D954,products!$A$1:$A$49,0), MATCH(orders!L$1,  products!$A$1:$G$1,0))</f>
        <v>11.25</v>
      </c>
      <c r="M954" s="7">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 MATCH(orders!I$1,  products!$A$1:$G$1,0))</f>
        <v>Ara</v>
      </c>
      <c r="J955" t="str">
        <f>INDEX(products!$A$1:$G$49,MATCH(orders!$D955,products!$A$1:$A$49,0), MATCH(orders!J$1,  products!$A$1:$G$1,0))</f>
        <v>L</v>
      </c>
      <c r="K955" s="4">
        <f>INDEX(products!$A$1:$G$49,MATCH(orders!$D955,products!$A$1:$A$49,0), MATCH(orders!K$1,  products!$A$1:$G$1,0))</f>
        <v>0.2</v>
      </c>
      <c r="L955" s="7">
        <f>INDEX(products!$A$1:$G$49,MATCH(orders!$D955,products!$A$1:$A$49,0), MATCH(orders!L$1,  products!$A$1:$G$1,0))</f>
        <v>3.8849999999999998</v>
      </c>
      <c r="M955" s="7">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 MATCH(orders!I$1,  products!$A$1:$G$1,0))</f>
        <v>Exc</v>
      </c>
      <c r="J956" t="str">
        <f>INDEX(products!$A$1:$G$49,MATCH(orders!$D956,products!$A$1:$A$49,0), MATCH(orders!J$1,  products!$A$1:$G$1,0))</f>
        <v>D</v>
      </c>
      <c r="K956" s="4">
        <f>INDEX(products!$A$1:$G$49,MATCH(orders!$D956,products!$A$1:$A$49,0), MATCH(orders!K$1,  products!$A$1:$G$1,0))</f>
        <v>2.5</v>
      </c>
      <c r="L956" s="7">
        <f>INDEX(products!$A$1:$G$49,MATCH(orders!$D956,products!$A$1:$A$49,0), MATCH(orders!L$1,  products!$A$1:$G$1,0))</f>
        <v>27.945</v>
      </c>
      <c r="M956" s="7">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 MATCH(orders!I$1,  products!$A$1:$G$1,0))</f>
        <v>Exc</v>
      </c>
      <c r="J957" t="str">
        <f>INDEX(products!$A$1:$G$49,MATCH(orders!$D957,products!$A$1:$A$49,0), MATCH(orders!J$1,  products!$A$1:$G$1,0))</f>
        <v>L</v>
      </c>
      <c r="K957" s="4">
        <f>INDEX(products!$A$1:$G$49,MATCH(orders!$D957,products!$A$1:$A$49,0), MATCH(orders!K$1,  products!$A$1:$G$1,0))</f>
        <v>2.5</v>
      </c>
      <c r="L957" s="7">
        <f>INDEX(products!$A$1:$G$49,MATCH(orders!$D957,products!$A$1:$A$49,0), MATCH(orders!L$1,  products!$A$1:$G$1,0))</f>
        <v>34.154999999999994</v>
      </c>
      <c r="M957" s="7">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 MATCH(orders!I$1,  products!$A$1:$G$1,0))</f>
        <v>Rob</v>
      </c>
      <c r="J958" t="str">
        <f>INDEX(products!$A$1:$G$49,MATCH(orders!$D958,products!$A$1:$A$49,0), MATCH(orders!J$1,  products!$A$1:$G$1,0))</f>
        <v>L</v>
      </c>
      <c r="K958" s="4">
        <f>INDEX(products!$A$1:$G$49,MATCH(orders!$D958,products!$A$1:$A$49,0), MATCH(orders!K$1,  products!$A$1:$G$1,0))</f>
        <v>2.5</v>
      </c>
      <c r="L958" s="7">
        <f>INDEX(products!$A$1:$G$49,MATCH(orders!$D958,products!$A$1:$A$49,0), MATCH(orders!L$1,  products!$A$1:$G$1,0))</f>
        <v>27.484999999999996</v>
      </c>
      <c r="M958" s="7">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 MATCH(orders!I$1,  products!$A$1:$G$1,0))</f>
        <v>Exc</v>
      </c>
      <c r="J959" t="str">
        <f>INDEX(products!$A$1:$G$49,MATCH(orders!$D959,products!$A$1:$A$49,0), MATCH(orders!J$1,  products!$A$1:$G$1,0))</f>
        <v>L</v>
      </c>
      <c r="K959" s="4">
        <f>INDEX(products!$A$1:$G$49,MATCH(orders!$D959,products!$A$1:$A$49,0), MATCH(orders!K$1,  products!$A$1:$G$1,0))</f>
        <v>1</v>
      </c>
      <c r="L959" s="7">
        <f>INDEX(products!$A$1:$G$49,MATCH(orders!$D959,products!$A$1:$A$49,0), MATCH(orders!L$1,  products!$A$1:$G$1,0))</f>
        <v>14.85</v>
      </c>
      <c r="M959" s="7">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 MATCH(orders!I$1,  products!$A$1:$G$1,0))</f>
        <v>Ara</v>
      </c>
      <c r="J960" t="str">
        <f>INDEX(products!$A$1:$G$49,MATCH(orders!$D960,products!$A$1:$A$49,0), MATCH(orders!J$1,  products!$A$1:$G$1,0))</f>
        <v>L</v>
      </c>
      <c r="K960" s="4">
        <f>INDEX(products!$A$1:$G$49,MATCH(orders!$D960,products!$A$1:$A$49,0), MATCH(orders!K$1,  products!$A$1:$G$1,0))</f>
        <v>0.2</v>
      </c>
      <c r="L960" s="7">
        <f>INDEX(products!$A$1:$G$49,MATCH(orders!$D960,products!$A$1:$A$49,0), MATCH(orders!L$1,  products!$A$1:$G$1,0))</f>
        <v>3.8849999999999998</v>
      </c>
      <c r="M960" s="7">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 MATCH(orders!I$1,  products!$A$1:$G$1,0))</f>
        <v>Lib</v>
      </c>
      <c r="J961" t="str">
        <f>INDEX(products!$A$1:$G$49,MATCH(orders!$D961,products!$A$1:$A$49,0), MATCH(orders!J$1,  products!$A$1:$G$1,0))</f>
        <v>L</v>
      </c>
      <c r="K961" s="4">
        <f>INDEX(products!$A$1:$G$49,MATCH(orders!$D961,products!$A$1:$A$49,0), MATCH(orders!K$1,  products!$A$1:$G$1,0))</f>
        <v>0.2</v>
      </c>
      <c r="L961" s="7">
        <f>INDEX(products!$A$1:$G$49,MATCH(orders!$D961,products!$A$1:$A$49,0), MATCH(orders!L$1,  products!$A$1:$G$1,0))</f>
        <v>4.7549999999999999</v>
      </c>
      <c r="M961" s="7">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 MATCH(orders!I$1,  products!$A$1:$G$1,0))</f>
        <v>Lib</v>
      </c>
      <c r="J962" t="str">
        <f>INDEX(products!$A$1:$G$49,MATCH(orders!$D962,products!$A$1:$A$49,0), MATCH(orders!J$1,  products!$A$1:$G$1,0))</f>
        <v>L</v>
      </c>
      <c r="K962" s="4">
        <f>INDEX(products!$A$1:$G$49,MATCH(orders!$D962,products!$A$1:$A$49,0), MATCH(orders!K$1,  products!$A$1:$G$1,0))</f>
        <v>1</v>
      </c>
      <c r="L962" s="7">
        <f>INDEX(products!$A$1:$G$49,MATCH(orders!$D962,products!$A$1:$A$49,0), MATCH(orders!L$1,  products!$A$1:$G$1,0))</f>
        <v>15.85</v>
      </c>
      <c r="M962" s="7">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 MATCH(orders!I$1,  products!$A$1:$G$1,0))</f>
        <v>Ara</v>
      </c>
      <c r="J963" t="str">
        <f>INDEX(products!$A$1:$G$49,MATCH(orders!$D963,products!$A$1:$A$49,0), MATCH(orders!J$1,  products!$A$1:$G$1,0))</f>
        <v>D</v>
      </c>
      <c r="K963" s="4">
        <f>INDEX(products!$A$1:$G$49,MATCH(orders!$D963,products!$A$1:$A$49,0), MATCH(orders!K$1,  products!$A$1:$G$1,0))</f>
        <v>2.5</v>
      </c>
      <c r="L963" s="7">
        <f>INDEX(products!$A$1:$G$49,MATCH(orders!$D963,products!$A$1:$A$49,0), MATCH(orders!L$1,  products!$A$1:$G$1,0))</f>
        <v>22.884999999999998</v>
      </c>
      <c r="M963" s="7">
        <f t="shared" ref="M963:M1001" si="45">L963*E963</f>
        <v>45.769999999999996</v>
      </c>
      <c r="N963" t="str">
        <f t="shared" ref="N963:N1001" si="46">IF(I963="Rob","Robusta", IF(I963="Exc","Excelsa", IF(I963="Ara", "Arabica", IF(I963="Lib", "Liberica", ""))))</f>
        <v>Arabica</v>
      </c>
      <c r="O963" t="str">
        <f t="shared" ref="O963:O1001" si="47">IF(J963="M", "Medium", IF(J963="L", "Light",IF(J963="D","Dark","")))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 MATCH(orders!I$1,  products!$A$1:$G$1,0))</f>
        <v>Rob</v>
      </c>
      <c r="J964" t="str">
        <f>INDEX(products!$A$1:$G$49,MATCH(orders!$D964,products!$A$1:$A$49,0), MATCH(orders!J$1,  products!$A$1:$G$1,0))</f>
        <v>D</v>
      </c>
      <c r="K964" s="4">
        <f>INDEX(products!$A$1:$G$49,MATCH(orders!$D964,products!$A$1:$A$49,0), MATCH(orders!K$1,  products!$A$1:$G$1,0))</f>
        <v>1</v>
      </c>
      <c r="L964" s="7">
        <f>INDEX(products!$A$1:$G$49,MATCH(orders!$D964,products!$A$1:$A$49,0), MATCH(orders!L$1,  products!$A$1:$G$1,0))</f>
        <v>8.9499999999999993</v>
      </c>
      <c r="M964" s="7">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 MATCH(orders!I$1,  products!$A$1:$G$1,0))</f>
        <v>Rob</v>
      </c>
      <c r="J965" t="str">
        <f>INDEX(products!$A$1:$G$49,MATCH(orders!$D965,products!$A$1:$A$49,0), MATCH(orders!J$1,  products!$A$1:$G$1,0))</f>
        <v>M</v>
      </c>
      <c r="K965" s="4">
        <f>INDEX(products!$A$1:$G$49,MATCH(orders!$D965,products!$A$1:$A$49,0), MATCH(orders!K$1,  products!$A$1:$G$1,0))</f>
        <v>0.5</v>
      </c>
      <c r="L965" s="7">
        <f>INDEX(products!$A$1:$G$49,MATCH(orders!$D965,products!$A$1:$A$49,0), MATCH(orders!L$1,  products!$A$1:$G$1,0))</f>
        <v>5.97</v>
      </c>
      <c r="M965" s="7">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 MATCH(orders!I$1,  products!$A$1:$G$1,0))</f>
        <v>Exc</v>
      </c>
      <c r="J966" t="str">
        <f>INDEX(products!$A$1:$G$49,MATCH(orders!$D966,products!$A$1:$A$49,0), MATCH(orders!J$1,  products!$A$1:$G$1,0))</f>
        <v>L</v>
      </c>
      <c r="K966" s="4">
        <f>INDEX(products!$A$1:$G$49,MATCH(orders!$D966,products!$A$1:$A$49,0), MATCH(orders!K$1,  products!$A$1:$G$1,0))</f>
        <v>0.2</v>
      </c>
      <c r="L966" s="7">
        <f>INDEX(products!$A$1:$G$49,MATCH(orders!$D966,products!$A$1:$A$49,0), MATCH(orders!L$1,  products!$A$1:$G$1,0))</f>
        <v>4.4550000000000001</v>
      </c>
      <c r="M966" s="7">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 MATCH(orders!I$1,  products!$A$1:$G$1,0))</f>
        <v>Rob</v>
      </c>
      <c r="J967" t="str">
        <f>INDEX(products!$A$1:$G$49,MATCH(orders!$D967,products!$A$1:$A$49,0), MATCH(orders!J$1,  products!$A$1:$G$1,0))</f>
        <v>M</v>
      </c>
      <c r="K967" s="4">
        <f>INDEX(products!$A$1:$G$49,MATCH(orders!$D967,products!$A$1:$A$49,0), MATCH(orders!K$1,  products!$A$1:$G$1,0))</f>
        <v>1</v>
      </c>
      <c r="L967" s="7">
        <f>INDEX(products!$A$1:$G$49,MATCH(orders!$D967,products!$A$1:$A$49,0), MATCH(orders!L$1,  products!$A$1:$G$1,0))</f>
        <v>9.9499999999999993</v>
      </c>
      <c r="M967" s="7">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 MATCH(orders!I$1,  products!$A$1:$G$1,0))</f>
        <v>Exc</v>
      </c>
      <c r="J968" t="str">
        <f>INDEX(products!$A$1:$G$49,MATCH(orders!$D968,products!$A$1:$A$49,0), MATCH(orders!J$1,  products!$A$1:$G$1,0))</f>
        <v>L</v>
      </c>
      <c r="K968" s="4">
        <f>INDEX(products!$A$1:$G$49,MATCH(orders!$D968,products!$A$1:$A$49,0), MATCH(orders!K$1,  products!$A$1:$G$1,0))</f>
        <v>0.5</v>
      </c>
      <c r="L968" s="7">
        <f>INDEX(products!$A$1:$G$49,MATCH(orders!$D968,products!$A$1:$A$49,0), MATCH(orders!L$1,  products!$A$1:$G$1,0))</f>
        <v>8.91</v>
      </c>
      <c r="M968" s="7">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 MATCH(orders!I$1,  products!$A$1:$G$1,0))</f>
        <v>Rob</v>
      </c>
      <c r="J969" t="str">
        <f>INDEX(products!$A$1:$G$49,MATCH(orders!$D969,products!$A$1:$A$49,0), MATCH(orders!J$1,  products!$A$1:$G$1,0))</f>
        <v>D</v>
      </c>
      <c r="K969" s="4">
        <f>INDEX(products!$A$1:$G$49,MATCH(orders!$D969,products!$A$1:$A$49,0), MATCH(orders!K$1,  products!$A$1:$G$1,0))</f>
        <v>0.2</v>
      </c>
      <c r="L969" s="7">
        <f>INDEX(products!$A$1:$G$49,MATCH(orders!$D969,products!$A$1:$A$49,0), MATCH(orders!L$1,  products!$A$1:$G$1,0))</f>
        <v>2.6849999999999996</v>
      </c>
      <c r="M969" s="7">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 MATCH(orders!I$1,  products!$A$1:$G$1,0))</f>
        <v>Rob</v>
      </c>
      <c r="J970" t="str">
        <f>INDEX(products!$A$1:$G$49,MATCH(orders!$D970,products!$A$1:$A$49,0), MATCH(orders!J$1,  products!$A$1:$G$1,0))</f>
        <v>M</v>
      </c>
      <c r="K970" s="4">
        <f>INDEX(products!$A$1:$G$49,MATCH(orders!$D970,products!$A$1:$A$49,0), MATCH(orders!K$1,  products!$A$1:$G$1,0))</f>
        <v>0.2</v>
      </c>
      <c r="L970" s="7">
        <f>INDEX(products!$A$1:$G$49,MATCH(orders!$D970,products!$A$1:$A$49,0), MATCH(orders!L$1,  products!$A$1:$G$1,0))</f>
        <v>2.9849999999999999</v>
      </c>
      <c r="M970" s="7">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 MATCH(orders!I$1,  products!$A$1:$G$1,0))</f>
        <v>Lib</v>
      </c>
      <c r="J971" t="str">
        <f>INDEX(products!$A$1:$G$49,MATCH(orders!$D971,products!$A$1:$A$49,0), MATCH(orders!J$1,  products!$A$1:$G$1,0))</f>
        <v>D</v>
      </c>
      <c r="K971" s="4">
        <f>INDEX(products!$A$1:$G$49,MATCH(orders!$D971,products!$A$1:$A$49,0), MATCH(orders!K$1,  products!$A$1:$G$1,0))</f>
        <v>1</v>
      </c>
      <c r="L971" s="7">
        <f>INDEX(products!$A$1:$G$49,MATCH(orders!$D971,products!$A$1:$A$49,0), MATCH(orders!L$1,  products!$A$1:$G$1,0))</f>
        <v>12.95</v>
      </c>
      <c r="M971" s="7">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 MATCH(orders!I$1,  products!$A$1:$G$1,0))</f>
        <v>Exc</v>
      </c>
      <c r="J972" t="str">
        <f>INDEX(products!$A$1:$G$49,MATCH(orders!$D972,products!$A$1:$A$49,0), MATCH(orders!J$1,  products!$A$1:$G$1,0))</f>
        <v>M</v>
      </c>
      <c r="K972" s="4">
        <f>INDEX(products!$A$1:$G$49,MATCH(orders!$D972,products!$A$1:$A$49,0), MATCH(orders!K$1,  products!$A$1:$G$1,0))</f>
        <v>0.5</v>
      </c>
      <c r="L972" s="7">
        <f>INDEX(products!$A$1:$G$49,MATCH(orders!$D972,products!$A$1:$A$49,0), MATCH(orders!L$1,  products!$A$1:$G$1,0))</f>
        <v>8.25</v>
      </c>
      <c r="M972" s="7">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 MATCH(orders!I$1,  products!$A$1:$G$1,0))</f>
        <v>Ara</v>
      </c>
      <c r="J973" t="str">
        <f>INDEX(products!$A$1:$G$49,MATCH(orders!$D973,products!$A$1:$A$49,0), MATCH(orders!J$1,  products!$A$1:$G$1,0))</f>
        <v>L</v>
      </c>
      <c r="K973" s="4">
        <f>INDEX(products!$A$1:$G$49,MATCH(orders!$D973,products!$A$1:$A$49,0), MATCH(orders!K$1,  products!$A$1:$G$1,0))</f>
        <v>2.5</v>
      </c>
      <c r="L973" s="7">
        <f>INDEX(products!$A$1:$G$49,MATCH(orders!$D973,products!$A$1:$A$49,0), MATCH(orders!L$1,  products!$A$1:$G$1,0))</f>
        <v>29.784999999999997</v>
      </c>
      <c r="M973" s="7">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 MATCH(orders!I$1,  products!$A$1:$G$1,0))</f>
        <v>Ara</v>
      </c>
      <c r="J974" t="str">
        <f>INDEX(products!$A$1:$G$49,MATCH(orders!$D974,products!$A$1:$A$49,0), MATCH(orders!J$1,  products!$A$1:$G$1,0))</f>
        <v>L</v>
      </c>
      <c r="K974" s="4">
        <f>INDEX(products!$A$1:$G$49,MATCH(orders!$D974,products!$A$1:$A$49,0), MATCH(orders!K$1,  products!$A$1:$G$1,0))</f>
        <v>2.5</v>
      </c>
      <c r="L974" s="7">
        <f>INDEX(products!$A$1:$G$49,MATCH(orders!$D974,products!$A$1:$A$49,0), MATCH(orders!L$1,  products!$A$1:$G$1,0))</f>
        <v>29.784999999999997</v>
      </c>
      <c r="M974" s="7">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 MATCH(orders!I$1,  products!$A$1:$G$1,0))</f>
        <v>Lib</v>
      </c>
      <c r="J975" t="str">
        <f>INDEX(products!$A$1:$G$49,MATCH(orders!$D975,products!$A$1:$A$49,0), MATCH(orders!J$1,  products!$A$1:$G$1,0))</f>
        <v>M</v>
      </c>
      <c r="K975" s="4">
        <f>INDEX(products!$A$1:$G$49,MATCH(orders!$D975,products!$A$1:$A$49,0), MATCH(orders!K$1,  products!$A$1:$G$1,0))</f>
        <v>1</v>
      </c>
      <c r="L975" s="7">
        <f>INDEX(products!$A$1:$G$49,MATCH(orders!$D975,products!$A$1:$A$49,0), MATCH(orders!L$1,  products!$A$1:$G$1,0))</f>
        <v>14.55</v>
      </c>
      <c r="M975" s="7">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 MATCH(orders!I$1,  products!$A$1:$G$1,0))</f>
        <v>Rob</v>
      </c>
      <c r="J976" t="str">
        <f>INDEX(products!$A$1:$G$49,MATCH(orders!$D976,products!$A$1:$A$49,0), MATCH(orders!J$1,  products!$A$1:$G$1,0))</f>
        <v>D</v>
      </c>
      <c r="K976" s="4">
        <f>INDEX(products!$A$1:$G$49,MATCH(orders!$D976,products!$A$1:$A$49,0), MATCH(orders!K$1,  products!$A$1:$G$1,0))</f>
        <v>0.5</v>
      </c>
      <c r="L976" s="7">
        <f>INDEX(products!$A$1:$G$49,MATCH(orders!$D976,products!$A$1:$A$49,0), MATCH(orders!L$1,  products!$A$1:$G$1,0))</f>
        <v>5.3699999999999992</v>
      </c>
      <c r="M976" s="7">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 MATCH(orders!I$1,  products!$A$1:$G$1,0))</f>
        <v>Ara</v>
      </c>
      <c r="J977" t="str">
        <f>INDEX(products!$A$1:$G$49,MATCH(orders!$D977,products!$A$1:$A$49,0), MATCH(orders!J$1,  products!$A$1:$G$1,0))</f>
        <v>D</v>
      </c>
      <c r="K977" s="4">
        <f>INDEX(products!$A$1:$G$49,MATCH(orders!$D977,products!$A$1:$A$49,0), MATCH(orders!K$1,  products!$A$1:$G$1,0))</f>
        <v>0.2</v>
      </c>
      <c r="L977" s="7">
        <f>INDEX(products!$A$1:$G$49,MATCH(orders!$D977,products!$A$1:$A$49,0), MATCH(orders!L$1,  products!$A$1:$G$1,0))</f>
        <v>2.9849999999999999</v>
      </c>
      <c r="M977" s="7">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 MATCH(orders!I$1,  products!$A$1:$G$1,0))</f>
        <v>Rob</v>
      </c>
      <c r="J978" t="str">
        <f>INDEX(products!$A$1:$G$49,MATCH(orders!$D978,products!$A$1:$A$49,0), MATCH(orders!J$1,  products!$A$1:$G$1,0))</f>
        <v>L</v>
      </c>
      <c r="K978" s="4">
        <f>INDEX(products!$A$1:$G$49,MATCH(orders!$D978,products!$A$1:$A$49,0), MATCH(orders!K$1,  products!$A$1:$G$1,0))</f>
        <v>2.5</v>
      </c>
      <c r="L978" s="7">
        <f>INDEX(products!$A$1:$G$49,MATCH(orders!$D978,products!$A$1:$A$49,0), MATCH(orders!L$1,  products!$A$1:$G$1,0))</f>
        <v>27.484999999999996</v>
      </c>
      <c r="M978" s="7">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 MATCH(orders!I$1,  products!$A$1:$G$1,0))</f>
        <v>Rob</v>
      </c>
      <c r="J979" t="str">
        <f>INDEX(products!$A$1:$G$49,MATCH(orders!$D979,products!$A$1:$A$49,0), MATCH(orders!J$1,  products!$A$1:$G$1,0))</f>
        <v>L</v>
      </c>
      <c r="K979" s="4">
        <f>INDEX(products!$A$1:$G$49,MATCH(orders!$D979,products!$A$1:$A$49,0), MATCH(orders!K$1,  products!$A$1:$G$1,0))</f>
        <v>1</v>
      </c>
      <c r="L979" s="7">
        <f>INDEX(products!$A$1:$G$49,MATCH(orders!$D979,products!$A$1:$A$49,0), MATCH(orders!L$1,  products!$A$1:$G$1,0))</f>
        <v>11.95</v>
      </c>
      <c r="M979" s="7">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 MATCH(orders!I$1,  products!$A$1:$G$1,0))</f>
        <v>Ara</v>
      </c>
      <c r="J980" t="str">
        <f>INDEX(products!$A$1:$G$49,MATCH(orders!$D980,products!$A$1:$A$49,0), MATCH(orders!J$1,  products!$A$1:$G$1,0))</f>
        <v>L</v>
      </c>
      <c r="K980" s="4">
        <f>INDEX(products!$A$1:$G$49,MATCH(orders!$D980,products!$A$1:$A$49,0), MATCH(orders!K$1,  products!$A$1:$G$1,0))</f>
        <v>0.5</v>
      </c>
      <c r="L980" s="7">
        <f>INDEX(products!$A$1:$G$49,MATCH(orders!$D980,products!$A$1:$A$49,0), MATCH(orders!L$1,  products!$A$1:$G$1,0))</f>
        <v>7.77</v>
      </c>
      <c r="M980" s="7">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 MATCH(orders!I$1,  products!$A$1:$G$1,0))</f>
        <v>Rob</v>
      </c>
      <c r="J981" t="str">
        <f>INDEX(products!$A$1:$G$49,MATCH(orders!$D981,products!$A$1:$A$49,0), MATCH(orders!J$1,  products!$A$1:$G$1,0))</f>
        <v>D</v>
      </c>
      <c r="K981" s="4">
        <f>INDEX(products!$A$1:$G$49,MATCH(orders!$D981,products!$A$1:$A$49,0), MATCH(orders!K$1,  products!$A$1:$G$1,0))</f>
        <v>0.5</v>
      </c>
      <c r="L981" s="7">
        <f>INDEX(products!$A$1:$G$49,MATCH(orders!$D981,products!$A$1:$A$49,0), MATCH(orders!L$1,  products!$A$1:$G$1,0))</f>
        <v>5.3699999999999992</v>
      </c>
      <c r="M981" s="7">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 MATCH(orders!I$1,  products!$A$1:$G$1,0))</f>
        <v>Exc</v>
      </c>
      <c r="J982" t="str">
        <f>INDEX(products!$A$1:$G$49,MATCH(orders!$D982,products!$A$1:$A$49,0), MATCH(orders!J$1,  products!$A$1:$G$1,0))</f>
        <v>D</v>
      </c>
      <c r="K982" s="4">
        <f>INDEX(products!$A$1:$G$49,MATCH(orders!$D982,products!$A$1:$A$49,0), MATCH(orders!K$1,  products!$A$1:$G$1,0))</f>
        <v>2.5</v>
      </c>
      <c r="L982" s="7">
        <f>INDEX(products!$A$1:$G$49,MATCH(orders!$D982,products!$A$1:$A$49,0), MATCH(orders!L$1,  products!$A$1:$G$1,0))</f>
        <v>27.945</v>
      </c>
      <c r="M982" s="7">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 MATCH(orders!I$1,  products!$A$1:$G$1,0))</f>
        <v>Exc</v>
      </c>
      <c r="J983" t="str">
        <f>INDEX(products!$A$1:$G$49,MATCH(orders!$D983,products!$A$1:$A$49,0), MATCH(orders!J$1,  products!$A$1:$G$1,0))</f>
        <v>D</v>
      </c>
      <c r="K983" s="4">
        <f>INDEX(products!$A$1:$G$49,MATCH(orders!$D983,products!$A$1:$A$49,0), MATCH(orders!K$1,  products!$A$1:$G$1,0))</f>
        <v>0.2</v>
      </c>
      <c r="L983" s="7">
        <f>INDEX(products!$A$1:$G$49,MATCH(orders!$D983,products!$A$1:$A$49,0), MATCH(orders!L$1,  products!$A$1:$G$1,0))</f>
        <v>3.645</v>
      </c>
      <c r="M983" s="7">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 MATCH(orders!I$1,  products!$A$1:$G$1,0))</f>
        <v>Rob</v>
      </c>
      <c r="J984" t="str">
        <f>INDEX(products!$A$1:$G$49,MATCH(orders!$D984,products!$A$1:$A$49,0), MATCH(orders!J$1,  products!$A$1:$G$1,0))</f>
        <v>L</v>
      </c>
      <c r="K984" s="4">
        <f>INDEX(products!$A$1:$G$49,MATCH(orders!$D984,products!$A$1:$A$49,0), MATCH(orders!K$1,  products!$A$1:$G$1,0))</f>
        <v>1</v>
      </c>
      <c r="L984" s="7">
        <f>INDEX(products!$A$1:$G$49,MATCH(orders!$D984,products!$A$1:$A$49,0), MATCH(orders!L$1,  products!$A$1:$G$1,0))</f>
        <v>11.95</v>
      </c>
      <c r="M984" s="7">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 MATCH(orders!I$1,  products!$A$1:$G$1,0))</f>
        <v>Ara</v>
      </c>
      <c r="J985" t="str">
        <f>INDEX(products!$A$1:$G$49,MATCH(orders!$D985,products!$A$1:$A$49,0), MATCH(orders!J$1,  products!$A$1:$G$1,0))</f>
        <v>M</v>
      </c>
      <c r="K985" s="4">
        <f>INDEX(products!$A$1:$G$49,MATCH(orders!$D985,products!$A$1:$A$49,0), MATCH(orders!K$1,  products!$A$1:$G$1,0))</f>
        <v>0.2</v>
      </c>
      <c r="L985" s="7">
        <f>INDEX(products!$A$1:$G$49,MATCH(orders!$D985,products!$A$1:$A$49,0), MATCH(orders!L$1,  products!$A$1:$G$1,0))</f>
        <v>3.375</v>
      </c>
      <c r="M985" s="7">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 MATCH(orders!I$1,  products!$A$1:$G$1,0))</f>
        <v>Exc</v>
      </c>
      <c r="J986" t="str">
        <f>INDEX(products!$A$1:$G$49,MATCH(orders!$D986,products!$A$1:$A$49,0), MATCH(orders!J$1,  products!$A$1:$G$1,0))</f>
        <v>M</v>
      </c>
      <c r="K986" s="4">
        <f>INDEX(products!$A$1:$G$49,MATCH(orders!$D986,products!$A$1:$A$49,0), MATCH(orders!K$1,  products!$A$1:$G$1,0))</f>
        <v>2.5</v>
      </c>
      <c r="L986" s="7">
        <f>INDEX(products!$A$1:$G$49,MATCH(orders!$D986,products!$A$1:$A$49,0), MATCH(orders!L$1,  products!$A$1:$G$1,0))</f>
        <v>31.624999999999996</v>
      </c>
      <c r="M986" s="7">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 MATCH(orders!I$1,  products!$A$1:$G$1,0))</f>
        <v>Rob</v>
      </c>
      <c r="J987" t="str">
        <f>INDEX(products!$A$1:$G$49,MATCH(orders!$D987,products!$A$1:$A$49,0), MATCH(orders!J$1,  products!$A$1:$G$1,0))</f>
        <v>L</v>
      </c>
      <c r="K987" s="4">
        <f>INDEX(products!$A$1:$G$49,MATCH(orders!$D987,products!$A$1:$A$49,0), MATCH(orders!K$1,  products!$A$1:$G$1,0))</f>
        <v>1</v>
      </c>
      <c r="L987" s="7">
        <f>INDEX(products!$A$1:$G$49,MATCH(orders!$D987,products!$A$1:$A$49,0), MATCH(orders!L$1,  products!$A$1:$G$1,0))</f>
        <v>11.95</v>
      </c>
      <c r="M987" s="7">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 MATCH(orders!I$1,  products!$A$1:$G$1,0))</f>
        <v>Lib</v>
      </c>
      <c r="J988" t="str">
        <f>INDEX(products!$A$1:$G$49,MATCH(orders!$D988,products!$A$1:$A$49,0), MATCH(orders!J$1,  products!$A$1:$G$1,0))</f>
        <v>M</v>
      </c>
      <c r="K988" s="4">
        <f>INDEX(products!$A$1:$G$49,MATCH(orders!$D988,products!$A$1:$A$49,0), MATCH(orders!K$1,  products!$A$1:$G$1,0))</f>
        <v>2.5</v>
      </c>
      <c r="L988" s="7">
        <f>INDEX(products!$A$1:$G$49,MATCH(orders!$D988,products!$A$1:$A$49,0), MATCH(orders!L$1,  products!$A$1:$G$1,0))</f>
        <v>33.464999999999996</v>
      </c>
      <c r="M988" s="7">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 MATCH(orders!I$1,  products!$A$1:$G$1,0))</f>
        <v>Ara</v>
      </c>
      <c r="J989" t="str">
        <f>INDEX(products!$A$1:$G$49,MATCH(orders!$D989,products!$A$1:$A$49,0), MATCH(orders!J$1,  products!$A$1:$G$1,0))</f>
        <v>D</v>
      </c>
      <c r="K989" s="4">
        <f>INDEX(products!$A$1:$G$49,MATCH(orders!$D989,products!$A$1:$A$49,0), MATCH(orders!K$1,  products!$A$1:$G$1,0))</f>
        <v>0.5</v>
      </c>
      <c r="L989" s="7">
        <f>INDEX(products!$A$1:$G$49,MATCH(orders!$D989,products!$A$1:$A$49,0), MATCH(orders!L$1,  products!$A$1:$G$1,0))</f>
        <v>5.97</v>
      </c>
      <c r="M989" s="7">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 MATCH(orders!I$1,  products!$A$1:$G$1,0))</f>
        <v>Rob</v>
      </c>
      <c r="J990" t="str">
        <f>INDEX(products!$A$1:$G$49,MATCH(orders!$D990,products!$A$1:$A$49,0), MATCH(orders!J$1,  products!$A$1:$G$1,0))</f>
        <v>M</v>
      </c>
      <c r="K990" s="4">
        <f>INDEX(products!$A$1:$G$49,MATCH(orders!$D990,products!$A$1:$A$49,0), MATCH(orders!K$1,  products!$A$1:$G$1,0))</f>
        <v>1</v>
      </c>
      <c r="L990" s="7">
        <f>INDEX(products!$A$1:$G$49,MATCH(orders!$D990,products!$A$1:$A$49,0), MATCH(orders!L$1,  products!$A$1:$G$1,0))</f>
        <v>9.9499999999999993</v>
      </c>
      <c r="M990" s="7">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 MATCH(orders!I$1,  products!$A$1:$G$1,0))</f>
        <v>Ara</v>
      </c>
      <c r="J991" t="str">
        <f>INDEX(products!$A$1:$G$49,MATCH(orders!$D991,products!$A$1:$A$49,0), MATCH(orders!J$1,  products!$A$1:$G$1,0))</f>
        <v>M</v>
      </c>
      <c r="K991" s="4">
        <f>INDEX(products!$A$1:$G$49,MATCH(orders!$D991,products!$A$1:$A$49,0), MATCH(orders!K$1,  products!$A$1:$G$1,0))</f>
        <v>2.5</v>
      </c>
      <c r="L991" s="7">
        <f>INDEX(products!$A$1:$G$49,MATCH(orders!$D991,products!$A$1:$A$49,0), MATCH(orders!L$1,  products!$A$1:$G$1,0))</f>
        <v>25.874999999999996</v>
      </c>
      <c r="M991" s="7">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 MATCH(orders!I$1,  products!$A$1:$G$1,0))</f>
        <v>Exc</v>
      </c>
      <c r="J992" t="str">
        <f>INDEX(products!$A$1:$G$49,MATCH(orders!$D992,products!$A$1:$A$49,0), MATCH(orders!J$1,  products!$A$1:$G$1,0))</f>
        <v>D</v>
      </c>
      <c r="K992" s="4">
        <f>INDEX(products!$A$1:$G$49,MATCH(orders!$D992,products!$A$1:$A$49,0), MATCH(orders!K$1,  products!$A$1:$G$1,0))</f>
        <v>0.2</v>
      </c>
      <c r="L992" s="7">
        <f>INDEX(products!$A$1:$G$49,MATCH(orders!$D992,products!$A$1:$A$49,0), MATCH(orders!L$1,  products!$A$1:$G$1,0))</f>
        <v>3.645</v>
      </c>
      <c r="M992" s="7">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 MATCH(orders!I$1,  products!$A$1:$G$1,0))</f>
        <v>Lib</v>
      </c>
      <c r="J993" t="str">
        <f>INDEX(products!$A$1:$G$49,MATCH(orders!$D993,products!$A$1:$A$49,0), MATCH(orders!J$1,  products!$A$1:$G$1,0))</f>
        <v>D</v>
      </c>
      <c r="K993" s="4">
        <f>INDEX(products!$A$1:$G$49,MATCH(orders!$D993,products!$A$1:$A$49,0), MATCH(orders!K$1,  products!$A$1:$G$1,0))</f>
        <v>0.5</v>
      </c>
      <c r="L993" s="7">
        <f>INDEX(products!$A$1:$G$49,MATCH(orders!$D993,products!$A$1:$A$49,0), MATCH(orders!L$1,  products!$A$1:$G$1,0))</f>
        <v>7.77</v>
      </c>
      <c r="M993" s="7">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 MATCH(orders!I$1,  products!$A$1:$G$1,0))</f>
        <v>Lib</v>
      </c>
      <c r="J994" t="str">
        <f>INDEX(products!$A$1:$G$49,MATCH(orders!$D994,products!$A$1:$A$49,0), MATCH(orders!J$1,  products!$A$1:$G$1,0))</f>
        <v>L</v>
      </c>
      <c r="K994" s="4">
        <f>INDEX(products!$A$1:$G$49,MATCH(orders!$D994,products!$A$1:$A$49,0), MATCH(orders!K$1,  products!$A$1:$G$1,0))</f>
        <v>2.5</v>
      </c>
      <c r="L994" s="7">
        <f>INDEX(products!$A$1:$G$49,MATCH(orders!$D994,products!$A$1:$A$49,0), MATCH(orders!L$1,  products!$A$1:$G$1,0))</f>
        <v>36.454999999999998</v>
      </c>
      <c r="M994" s="7">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 MATCH(orders!I$1,  products!$A$1:$G$1,0))</f>
        <v>Ara</v>
      </c>
      <c r="J995" t="str">
        <f>INDEX(products!$A$1:$G$49,MATCH(orders!$D995,products!$A$1:$A$49,0), MATCH(orders!J$1,  products!$A$1:$G$1,0))</f>
        <v>L</v>
      </c>
      <c r="K995" s="4">
        <f>INDEX(products!$A$1:$G$49,MATCH(orders!$D995,products!$A$1:$A$49,0), MATCH(orders!K$1,  products!$A$1:$G$1,0))</f>
        <v>1</v>
      </c>
      <c r="L995" s="7">
        <f>INDEX(products!$A$1:$G$49,MATCH(orders!$D995,products!$A$1:$A$49,0), MATCH(orders!L$1,  products!$A$1:$G$1,0))</f>
        <v>12.95</v>
      </c>
      <c r="M995" s="7">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 MATCH(orders!I$1,  products!$A$1:$G$1,0))</f>
        <v>Ara</v>
      </c>
      <c r="J996" t="str">
        <f>INDEX(products!$A$1:$G$49,MATCH(orders!$D996,products!$A$1:$A$49,0), MATCH(orders!J$1,  products!$A$1:$G$1,0))</f>
        <v>D</v>
      </c>
      <c r="K996" s="4">
        <f>INDEX(products!$A$1:$G$49,MATCH(orders!$D996,products!$A$1:$A$49,0), MATCH(orders!K$1,  products!$A$1:$G$1,0))</f>
        <v>0.2</v>
      </c>
      <c r="L996" s="7">
        <f>INDEX(products!$A$1:$G$49,MATCH(orders!$D996,products!$A$1:$A$49,0), MATCH(orders!L$1,  products!$A$1:$G$1,0))</f>
        <v>2.9849999999999999</v>
      </c>
      <c r="M996" s="7">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 MATCH(orders!I$1,  products!$A$1:$G$1,0))</f>
        <v>Rob</v>
      </c>
      <c r="J997" t="str">
        <f>INDEX(products!$A$1:$G$49,MATCH(orders!$D997,products!$A$1:$A$49,0), MATCH(orders!J$1,  products!$A$1:$G$1,0))</f>
        <v>L</v>
      </c>
      <c r="K997" s="4">
        <f>INDEX(products!$A$1:$G$49,MATCH(orders!$D997,products!$A$1:$A$49,0), MATCH(orders!K$1,  products!$A$1:$G$1,0))</f>
        <v>2.5</v>
      </c>
      <c r="L997" s="7">
        <f>INDEX(products!$A$1:$G$49,MATCH(orders!$D997,products!$A$1:$A$49,0), MATCH(orders!L$1,  products!$A$1:$G$1,0))</f>
        <v>27.484999999999996</v>
      </c>
      <c r="M997" s="7">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 MATCH(orders!I$1,  products!$A$1:$G$1,0))</f>
        <v>Rob</v>
      </c>
      <c r="J998" t="str">
        <f>INDEX(products!$A$1:$G$49,MATCH(orders!$D998,products!$A$1:$A$49,0), MATCH(orders!J$1,  products!$A$1:$G$1,0))</f>
        <v>M</v>
      </c>
      <c r="K998" s="4">
        <f>INDEX(products!$A$1:$G$49,MATCH(orders!$D998,products!$A$1:$A$49,0), MATCH(orders!K$1,  products!$A$1:$G$1,0))</f>
        <v>0.5</v>
      </c>
      <c r="L998" s="7">
        <f>INDEX(products!$A$1:$G$49,MATCH(orders!$D998,products!$A$1:$A$49,0), MATCH(orders!L$1,  products!$A$1:$G$1,0))</f>
        <v>5.97</v>
      </c>
      <c r="M998" s="7">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 MATCH(orders!I$1,  products!$A$1:$G$1,0))</f>
        <v>Ara</v>
      </c>
      <c r="J999" t="str">
        <f>INDEX(products!$A$1:$G$49,MATCH(orders!$D999,products!$A$1:$A$49,0), MATCH(orders!J$1,  products!$A$1:$G$1,0))</f>
        <v>M</v>
      </c>
      <c r="K999" s="4">
        <f>INDEX(products!$A$1:$G$49,MATCH(orders!$D999,products!$A$1:$A$49,0), MATCH(orders!K$1,  products!$A$1:$G$1,0))</f>
        <v>0.5</v>
      </c>
      <c r="L999" s="7">
        <f>INDEX(products!$A$1:$G$49,MATCH(orders!$D999,products!$A$1:$A$49,0), MATCH(orders!L$1,  products!$A$1:$G$1,0))</f>
        <v>6.75</v>
      </c>
      <c r="M999" s="7">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 MATCH(orders!I$1,  products!$A$1:$G$1,0))</f>
        <v>Ara</v>
      </c>
      <c r="J1000" t="str">
        <f>INDEX(products!$A$1:$G$49,MATCH(orders!$D1000,products!$A$1:$A$49,0), MATCH(orders!J$1,  products!$A$1:$G$1,0))</f>
        <v>D</v>
      </c>
      <c r="K1000" s="4">
        <f>INDEX(products!$A$1:$G$49,MATCH(orders!$D1000,products!$A$1:$A$49,0), MATCH(orders!K$1,  products!$A$1:$G$1,0))</f>
        <v>1</v>
      </c>
      <c r="L1000" s="7">
        <f>INDEX(products!$A$1:$G$49,MATCH(orders!$D1000,products!$A$1:$A$49,0), MATCH(orders!L$1,  products!$A$1:$G$1,0))</f>
        <v>9.9499999999999993</v>
      </c>
      <c r="M1000" s="7">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 MATCH(orders!I$1,  products!$A$1:$G$1,0))</f>
        <v>Exc</v>
      </c>
      <c r="J1001" t="str">
        <f>INDEX(products!$A$1:$G$49,MATCH(orders!$D1001,products!$A$1:$A$49,0), MATCH(orders!J$1,  products!$A$1:$G$1,0))</f>
        <v>M</v>
      </c>
      <c r="K1001" s="4">
        <f>INDEX(products!$A$1:$G$49,MATCH(orders!$D1001,products!$A$1:$A$49,0), MATCH(orders!K$1,  products!$A$1:$G$1,0))</f>
        <v>0.2</v>
      </c>
      <c r="L1001" s="7">
        <f>INDEX(products!$A$1:$G$49,MATCH(orders!$D1001,products!$A$1:$A$49,0), MATCH(orders!L$1,  products!$A$1:$G$1,0))</f>
        <v>4.125</v>
      </c>
      <c r="M1001" s="7">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667"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Nontokozo</cp:lastModifiedBy>
  <cp:revision/>
  <dcterms:created xsi:type="dcterms:W3CDTF">2022-11-26T09:51:45Z</dcterms:created>
  <dcterms:modified xsi:type="dcterms:W3CDTF">2026-05-11T20:17:32Z</dcterms:modified>
  <cp:category/>
  <cp:contentStatus/>
</cp:coreProperties>
</file>